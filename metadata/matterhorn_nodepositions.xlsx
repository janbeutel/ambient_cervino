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T:\research\geophones\projects\ambient_cervino\bin\metadata\"/>
    </mc:Choice>
  </mc:AlternateContent>
  <xr:revisionPtr revIDLastSave="0" documentId="13_ncr:1_{7414A47A-4A83-4261-A71C-C0967B1373A1}" xr6:coauthVersionLast="47" xr6:coauthVersionMax="47" xr10:uidLastSave="{00000000-0000-0000-0000-000000000000}"/>
  <bookViews>
    <workbookView xWindow="-108" yWindow="-108" windowWidth="46296" windowHeight="25416" tabRatio="441" xr2:uid="{00000000-000D-0000-FFFF-FFFF00000000}"/>
  </bookViews>
  <sheets>
    <sheet name="Nodepositions" sheetId="1" r:id="rId1"/>
    <sheet name="Sensor Setup" sheetId="2" r:id="rId2"/>
    <sheet name="Temperature Channe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4" i="1" l="1"/>
  <c r="Q4" i="1"/>
  <c r="S4" i="1"/>
  <c r="T4" i="1"/>
  <c r="U4" i="1"/>
  <c r="V4" i="1"/>
  <c r="W4" i="1"/>
  <c r="X4" i="1"/>
  <c r="Y4" i="1"/>
  <c r="AB4" i="1"/>
  <c r="Z4" i="1"/>
  <c r="E2" i="3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A4" i="1"/>
  <c r="AC4" i="1"/>
  <c r="AD4" i="1"/>
  <c r="AE4" i="1"/>
  <c r="AF4" i="1" l="1"/>
  <c r="AG4" i="1"/>
  <c r="AH4" i="1"/>
  <c r="AI4" i="1" l="1"/>
  <c r="CH4" i="1" l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tc={B43DF845-C57D-412C-84BD-500B4DC174A6}</author>
    <author>Jan Beutel</author>
    <author>tc={0327C99B-BD95-4261-BF3A-00535D60455B}</author>
    <author>tc={83F3DD50-C473-4DED-88F9-CAA60A57DFD6}</author>
    <author>tc={4B22CDCF-29A3-4B67-B1BD-7FE9643287C2}</author>
    <author>tc={A2571505-1076-4C76-BA6D-6B932204C7D3}</author>
    <author>tc={AF231BF3-028F-493A-BFA0-798DED4699A7}</author>
    <author>tc={E3217E73-017B-41CB-8FC5-30B3A5FA1543}</author>
    <author>tc={058E3E39-A23E-404D-A27E-D3559182AE39}</author>
    <author>tc={5A9B8EBC-E449-477B-B1F7-6C1037BE6B6E}</author>
    <author>tc={720C36BE-9ED3-4CDA-A818-33125F7995D3}</author>
    <author>tc={8F349546-491E-41EB-9027-F5705271D839}</author>
    <author>tc={A8A84A9F-0EF1-4FF4-A437-FC0E176302E3}</author>
    <author>tc={83CC641D-E4E3-4046-BB83-E66EF285BD8B}</author>
  </authors>
  <commentList>
    <comment ref="BX7" authorId="0" shapeId="0" xr:uid="{00000000-0006-0000-0000-000002000000}">
      <text>
        <r>
          <rPr>
            <b/>
            <sz val="8"/>
            <color rgb="FF141312"/>
            <rFont val="Tahoma"/>
            <family val="2"/>
            <charset val="1"/>
          </rPr>
          <t xml:space="preserve">Jan Beutel:
</t>
        </r>
        <r>
          <rPr>
            <sz val="8"/>
            <color rgb="FF141312"/>
            <rFont val="Tahoma"/>
            <family val="2"/>
            <charset val="1"/>
          </rPr>
          <t>exchanged vaisala sensor, seems to work but no communication</t>
        </r>
      </text>
    </comment>
    <comment ref="BY7" authorId="0" shapeId="0" xr:uid="{00000000-0006-0000-0000-000003000000}">
      <text>
        <r>
          <rPr>
            <b/>
            <sz val="8"/>
            <color rgb="FF141312"/>
            <rFont val="Tahoma"/>
            <family val="2"/>
            <charset val="1"/>
          </rPr>
          <t xml:space="preserve">Jan Beutel:
</t>
        </r>
        <r>
          <rPr>
            <sz val="8"/>
            <color rgb="FF141312"/>
            <rFont val="Tahoma"/>
            <family val="2"/>
            <charset val="1"/>
          </rPr>
          <t>removed usb webcam, vaisala seems broken</t>
        </r>
      </text>
    </comment>
    <comment ref="AT9" authorId="0" shapeId="0" xr:uid="{00000000-0006-0000-0000-000004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re-install after node fell off in august 2015</t>
        </r>
      </text>
    </comment>
    <comment ref="BG9" authorId="0" shapeId="0" xr:uid="{00000000-0006-0000-0000-000005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12:00 removal
12:15 insertion</t>
        </r>
      </text>
    </comment>
    <comment ref="BF10" authorId="0" shapeId="0" xr:uid="{00000000-0006-0000-0000-000006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10:35 removal
10:40 insertion</t>
        </r>
      </text>
    </comment>
    <comment ref="N11" authorId="0" shapeId="0" xr:uid="{00000000-0006-0000-0000-000007000000}">
      <text>
        <r>
          <rPr>
            <b/>
            <sz val="8"/>
            <color rgb="FF000000"/>
            <rFont val="Times New Roman"/>
            <family val="1"/>
            <charset val="1"/>
          </rPr>
          <t xml:space="preserve">Jan Beutel:
</t>
        </r>
        <r>
          <rPr>
            <sz val="8"/>
            <color rgb="FF000000"/>
            <rFont val="Times New Roman"/>
            <family val="1"/>
            <charset val="1"/>
          </rPr>
          <t>taken from gps track</t>
        </r>
      </text>
    </comment>
    <comment ref="G15" authorId="0" shapeId="0" xr:uid="{00000000-0006-0000-0000-000008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SR was cut off on 21.06.2010</t>
        </r>
      </text>
    </comment>
    <comment ref="AN15" authorId="0" shapeId="0" xr:uid="{00000000-0006-0000-0000-000009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new CR 150mm, new NCTC splitter</t>
        </r>
      </text>
    </comment>
    <comment ref="BW15" authorId="0" shapeId="0" xr:uid="{00000000-0006-0000-0000-00000A000000}">
      <text>
        <r>
          <rPr>
            <b/>
            <sz val="8"/>
            <color rgb="FF141312"/>
            <rFont val="Tahoma"/>
            <family val="2"/>
            <charset val="1"/>
          </rPr>
          <t xml:space="preserve">Jan Beutel:
</t>
        </r>
        <r>
          <rPr>
            <sz val="8"/>
            <color rgb="FF141312"/>
            <rFont val="Tahoma"/>
            <family val="2"/>
            <charset val="1"/>
          </rPr>
          <t>11:15h 1.9.2010</t>
        </r>
      </text>
    </comment>
    <comment ref="BX16" authorId="0" shapeId="0" xr:uid="{00000000-0006-0000-0000-00000B000000}">
      <text>
        <r>
          <rPr>
            <b/>
            <sz val="8"/>
            <color rgb="FF141312"/>
            <rFont val="Tahoma"/>
            <family val="2"/>
            <charset val="1"/>
          </rPr>
          <t xml:space="preserve">Jan Beutel:
</t>
        </r>
        <r>
          <rPr>
            <sz val="8"/>
            <color rgb="FF141312"/>
            <rFont val="Tahoma"/>
            <family val="2"/>
            <charset val="1"/>
          </rPr>
          <t>11:15h 1.9.2010</t>
        </r>
      </text>
    </comment>
    <comment ref="G18" authorId="0" shapeId="0" xr:uid="{00000000-0006-0000-0000-00000C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was SR + NTNN before
15.08.2018</t>
        </r>
      </text>
    </comment>
    <comment ref="AC18" authorId="1" shapeId="0" xr:uid="{B43DF845-C57D-412C-84BD-500B4DC174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reset</t>
      </text>
    </comment>
    <comment ref="Y21" authorId="2" shapeId="0" xr:uid="{169C2F17-F178-47AD-8C35-FB4ACAF9979B}">
      <text>
        <r>
          <rPr>
            <b/>
            <sz val="9"/>
            <color indexed="81"/>
            <rFont val="Tahoma"/>
            <family val="2"/>
          </rPr>
          <t>Jan Beutel:</t>
        </r>
        <r>
          <rPr>
            <sz val="9"/>
            <color indexed="81"/>
            <rFont val="Tahoma"/>
            <family val="2"/>
          </rPr>
          <t xml:space="preserve">
new battery</t>
        </r>
      </text>
    </comment>
    <comment ref="AB21" authorId="2" shapeId="0" xr:uid="{5B91D74D-4322-46C4-8660-EE8DDCFC7E63}">
      <text>
        <r>
          <rPr>
            <b/>
            <sz val="9"/>
            <color indexed="81"/>
            <rFont val="Tahoma"/>
            <family val="2"/>
          </rPr>
          <t>Jan Beutel:</t>
        </r>
        <r>
          <rPr>
            <sz val="9"/>
            <color indexed="81"/>
            <rFont val="Tahoma"/>
            <family val="2"/>
          </rPr>
          <t xml:space="preserve">
new battery
</t>
        </r>
      </text>
    </comment>
    <comment ref="AC21" authorId="3" shapeId="0" xr:uid="{0327C99B-BD95-4261-BF3A-00535D60455B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battery</t>
      </text>
    </comment>
    <comment ref="AL21" authorId="0" shapeId="0" xr:uid="{00000000-0006-0000-0000-00000D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new battery, removed SD card</t>
        </r>
      </text>
    </comment>
    <comment ref="AQ21" authorId="0" shapeId="0" xr:uid="{00000000-0006-0000-0000-00000E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SIB battery replacement
new silica</t>
        </r>
      </text>
    </comment>
    <comment ref="AU21" authorId="0" shapeId="0" xr:uid="{00000000-0006-0000-0000-00000F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reset with magnet</t>
        </r>
      </text>
    </comment>
    <comment ref="BF21" authorId="0" shapeId="0" xr:uid="{00000000-0006-0000-0000-000010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new firmware</t>
        </r>
      </text>
    </comment>
    <comment ref="BJ21" authorId="0" shapeId="0" xr:uid="{00000000-0006-0000-0000-000011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reprogrammed SIB with new software queuesize=80</t>
        </r>
      </text>
    </comment>
    <comment ref="BK21" authorId="0" shapeId="0" xr:uid="{00000000-0006-0000-0000-000012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reset stuck node</t>
        </r>
      </text>
    </comment>
    <comment ref="BM21" authorId="0" shapeId="0" xr:uid="{00000000-0006-0000-0000-000013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install 2nd powerbox, total 4x105Ah</t>
        </r>
      </text>
    </comment>
    <comment ref="BX21" authorId="0" shapeId="0" xr:uid="{00000000-0006-0000-0000-000014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install 2nd 105Ah battery</t>
        </r>
      </text>
    </comment>
    <comment ref="BZ21" authorId="0" shapeId="0" xr:uid="{00000000-0006-0000-0000-000015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new powerbox, 1x105Ah</t>
        </r>
      </text>
    </comment>
    <comment ref="CE21" authorId="0" shapeId="0" xr:uid="{00000000-0006-0000-0000-000016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install 1x BP and 2x SPR panels</t>
        </r>
      </text>
    </comment>
    <comment ref="CF21" authorId="0" shapeId="0" xr:uid="{00000000-0006-0000-0000-000017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install 1x105Ah</t>
        </r>
      </text>
    </comment>
    <comment ref="AL22" authorId="0" shapeId="0" xr:uid="{00000000-0006-0000-0000-000018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reset</t>
        </r>
      </text>
    </comment>
    <comment ref="AL23" authorId="0" shapeId="0" xr:uid="{00000000-0006-0000-0000-000019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new battery, new SD Card</t>
        </r>
      </text>
    </comment>
    <comment ref="BW23" authorId="0" shapeId="0" xr:uid="{00000000-0006-0000-0000-00001A000000}">
      <text>
        <r>
          <rPr>
            <b/>
            <sz val="8"/>
            <color rgb="FF141312"/>
            <rFont val="Tahoma"/>
            <family val="2"/>
            <charset val="1"/>
          </rPr>
          <t xml:space="preserve">Jan Beutel:
</t>
        </r>
        <r>
          <rPr>
            <sz val="8"/>
            <color rgb="FF141312"/>
            <rFont val="Tahoma"/>
            <family val="2"/>
            <charset val="1"/>
          </rPr>
          <t>removed and used as spare in pos 2</t>
        </r>
      </text>
    </comment>
    <comment ref="BX23" authorId="0" shapeId="0" xr:uid="{00000000-0006-0000-0000-00001B000000}">
      <text>
        <r>
          <rPr>
            <b/>
            <sz val="8"/>
            <color rgb="FF141312"/>
            <rFont val="Tahoma"/>
            <family val="2"/>
            <charset val="1"/>
          </rPr>
          <t xml:space="preserve">Jan Beutel:
</t>
        </r>
        <r>
          <rPr>
            <sz val="8"/>
            <color rgb="FF141312"/>
            <rFont val="Tahoma"/>
            <family val="2"/>
            <charset val="1"/>
          </rPr>
          <t>10:07 h 1.9.2010
mounting is wrong, needs PH screwdriver for node replacement</t>
        </r>
      </text>
    </comment>
    <comment ref="CC23" authorId="0" shapeId="0" xr:uid="{00000000-0006-0000-0000-00001C000000}">
      <text>
        <r>
          <rPr>
            <b/>
            <sz val="8"/>
            <color rgb="FF141312"/>
            <rFont val="Tahoma"/>
            <family val="2"/>
            <charset val="1"/>
          </rPr>
          <t xml:space="preserve">Jan Beutel:
</t>
        </r>
        <r>
          <rPr>
            <sz val="8"/>
            <color rgb="FF141312"/>
            <rFont val="Tahoma"/>
            <family val="2"/>
            <charset val="1"/>
          </rPr>
          <t>battery got detached by rockfall</t>
        </r>
      </text>
    </comment>
    <comment ref="Y24" authorId="2" shapeId="0" xr:uid="{2475DF3E-DCF2-4BCD-B27F-8ECC2331A4D7}">
      <text>
        <r>
          <rPr>
            <b/>
            <sz val="9"/>
            <color indexed="81"/>
            <rFont val="Tahoma"/>
            <family val="2"/>
          </rPr>
          <t>Jan Beutel:</t>
        </r>
        <r>
          <rPr>
            <sz val="9"/>
            <color indexed="81"/>
            <rFont val="Tahoma"/>
            <family val="2"/>
          </rPr>
          <t xml:space="preserve">
new battery
</t>
        </r>
      </text>
    </comment>
    <comment ref="CB24" authorId="0" shapeId="0" xr:uid="{00000000-0006-0000-0000-00001D000000}">
      <text>
        <r>
          <rPr>
            <b/>
            <sz val="8"/>
            <color rgb="FF000000"/>
            <rFont val="Times New Roman"/>
            <family val="1"/>
            <charset val="1"/>
          </rPr>
          <t xml:space="preserve">Jan Beutel:
</t>
        </r>
        <r>
          <rPr>
            <sz val="8"/>
            <color rgb="FF000000"/>
            <rFont val="Times New Roman"/>
            <family val="1"/>
            <charset val="1"/>
          </rPr>
          <t>removed 07/2009</t>
        </r>
      </text>
    </comment>
    <comment ref="BU25" authorId="0" shapeId="0" xr:uid="{00000000-0006-0000-0000-00001E000000}">
      <text>
        <r>
          <rPr>
            <sz val="10"/>
            <rFont val="Arial"/>
            <family val="2"/>
            <charset val="1"/>
          </rPr>
          <t>Has been „Relay Ridge 2“ until here</t>
        </r>
      </text>
    </comment>
    <comment ref="BX25" authorId="0" shapeId="0" xr:uid="{00000000-0006-0000-0000-00001F000000}">
      <text>
        <r>
          <rPr>
            <b/>
            <sz val="8"/>
            <color rgb="FF141312"/>
            <rFont val="Tahoma"/>
            <family val="2"/>
            <charset val="1"/>
          </rPr>
          <t xml:space="preserve">Jan Beutel:
</t>
        </r>
        <r>
          <rPr>
            <sz val="8"/>
            <color rgb="FF141312"/>
            <rFont val="Tahoma"/>
            <family val="2"/>
            <charset val="1"/>
          </rPr>
          <t>still broken, needs retrieval</t>
        </r>
      </text>
    </comment>
    <comment ref="BY25" authorId="0" shapeId="0" xr:uid="{00000000-0006-0000-0000-000020000000}">
      <text>
        <r>
          <rPr>
            <b/>
            <sz val="8"/>
            <color rgb="FF141312"/>
            <rFont val="Tahoma"/>
            <family val="2"/>
            <charset val="1"/>
          </rPr>
          <t xml:space="preserve">Jan Beutel:
</t>
        </r>
        <r>
          <rPr>
            <sz val="8"/>
            <color rgb="FF141312"/>
            <rFont val="Tahoma"/>
            <family val="2"/>
            <charset val="1"/>
          </rPr>
          <t>still broken, needs retrieval</t>
        </r>
      </text>
    </comment>
    <comment ref="BZ25" authorId="0" shapeId="0" xr:uid="{00000000-0006-0000-0000-000021000000}">
      <text>
        <r>
          <rPr>
            <b/>
            <sz val="8"/>
            <color rgb="FF141312"/>
            <rFont val="Tahoma"/>
            <family val="2"/>
            <charset val="1"/>
          </rPr>
          <t xml:space="preserve">Jan Beutel:
</t>
        </r>
        <r>
          <rPr>
            <sz val="8"/>
            <color rgb="FF141312"/>
            <rFont val="Tahoma"/>
            <family val="2"/>
            <charset val="1"/>
          </rPr>
          <t>still broken, needs retrieval</t>
        </r>
      </text>
    </comment>
    <comment ref="CB25" authorId="0" shapeId="0" xr:uid="{00000000-0006-0000-0000-000022000000}">
      <text>
        <r>
          <rPr>
            <b/>
            <sz val="8"/>
            <color rgb="FF000000"/>
            <rFont val="Times New Roman"/>
            <family val="1"/>
            <charset val="1"/>
          </rPr>
          <t xml:space="preserve">Jan Beutel:
</t>
        </r>
        <r>
          <rPr>
            <sz val="8"/>
            <color rgb="FF000000"/>
            <rFont val="Times New Roman"/>
            <family val="1"/>
            <charset val="1"/>
          </rPr>
          <t>broken since 03/2009</t>
        </r>
      </text>
    </comment>
    <comment ref="AR26" authorId="0" shapeId="0" xr:uid="{00000000-0006-0000-0000-000023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exchange sd card</t>
        </r>
      </text>
    </comment>
    <comment ref="BX26" authorId="0" shapeId="0" xr:uid="{00000000-0006-0000-0000-000024000000}">
      <text>
        <r>
          <rPr>
            <b/>
            <sz val="8"/>
            <color rgb="FF141312"/>
            <rFont val="Tahoma"/>
            <family val="2"/>
            <charset val="1"/>
          </rPr>
          <t xml:space="preserve">Jan Beutel:
</t>
        </r>
        <r>
          <rPr>
            <sz val="8"/>
            <color rgb="FF141312"/>
            <rFont val="Tahoma"/>
            <family val="2"/>
            <charset val="1"/>
          </rPr>
          <t>new baseboard, new ip configuration</t>
        </r>
      </text>
    </comment>
    <comment ref="BY26" authorId="0" shapeId="0" xr:uid="{00000000-0006-0000-0000-000025000000}">
      <text>
        <r>
          <rPr>
            <b/>
            <sz val="8"/>
            <color rgb="FF141312"/>
            <rFont val="Tahoma"/>
            <family val="2"/>
            <charset val="1"/>
          </rPr>
          <t xml:space="preserve">Jan Beutel:
</t>
        </r>
        <r>
          <rPr>
            <sz val="8"/>
            <color rgb="FF141312"/>
            <rFont val="Tahoma"/>
            <family val="2"/>
            <charset val="1"/>
          </rPr>
          <t>removed mountainview base board</t>
        </r>
      </text>
    </comment>
    <comment ref="AC27" authorId="4" shapeId="0" xr:uid="{83F3DD50-C473-4DED-88F9-CAA60A57DF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reset</t>
      </text>
    </comment>
    <comment ref="BB27" authorId="0" shapeId="0" xr:uid="{00000000-0006-0000-0000-000026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horizontal CM is broken after rockfall</t>
        </r>
      </text>
    </comment>
    <comment ref="AC28" authorId="5" shapeId="0" xr:uid="{4B22CDCF-29A3-4B67-B1BD-7FE9643287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reset</t>
      </text>
    </comment>
    <comment ref="Y30" authorId="2" shapeId="0" xr:uid="{BAFD2DE5-6D82-49C7-86C4-21B64342DDB1}">
      <text>
        <r>
          <rPr>
            <b/>
            <sz val="9"/>
            <color indexed="81"/>
            <rFont val="Tahoma"/>
            <family val="2"/>
          </rPr>
          <t>Jan Beutel:</t>
        </r>
        <r>
          <rPr>
            <sz val="9"/>
            <color indexed="81"/>
            <rFont val="Tahoma"/>
            <family val="2"/>
          </rPr>
          <t xml:space="preserve">
unplugged power</t>
        </r>
      </text>
    </comment>
    <comment ref="AL30" authorId="0" shapeId="0" xr:uid="{00000000-0006-0000-0000-000027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reset, powercycle ok</t>
        </r>
      </text>
    </comment>
    <comment ref="BX31" authorId="0" shapeId="0" xr:uid="{00000000-0006-0000-0000-000028000000}">
      <text>
        <r>
          <rPr>
            <b/>
            <sz val="8"/>
            <color rgb="FF141312"/>
            <rFont val="Tahoma"/>
            <family val="2"/>
            <charset val="1"/>
          </rPr>
          <t xml:space="preserve">Jan Beutel:
</t>
        </r>
        <r>
          <rPr>
            <sz val="8"/>
            <color rgb="FF141312"/>
            <rFont val="Tahoma"/>
            <family val="2"/>
            <charset val="1"/>
          </rPr>
          <t>10:43h</t>
        </r>
      </text>
    </comment>
    <comment ref="X32" authorId="6" shapeId="0" xr:uid="{A2571505-1076-4C76-BA6D-6B932204C7D3}">
      <text>
        <t>[Threaded comment]
Your version of Excel allows you to read this threaded comment; however, any edits to it will get removed if the file is opened in a newer version of Excel. Learn more: https://go.microsoft.com/fwlink/?linkid=870924
Comment:
    Lightning rod fix, temporary</t>
      </text>
    </comment>
    <comment ref="Y32" authorId="2" shapeId="0" xr:uid="{67DEC8E9-467B-4F5E-BD12-C55F0231EE71}">
      <text>
        <r>
          <rPr>
            <b/>
            <sz val="9"/>
            <color indexed="81"/>
            <rFont val="Tahoma"/>
            <family val="2"/>
          </rPr>
          <t>Jan Beutel:</t>
        </r>
        <r>
          <rPr>
            <sz val="9"/>
            <color indexed="81"/>
            <rFont val="Tahoma"/>
            <family val="2"/>
          </rPr>
          <t xml:space="preserve">
reset new sensor
</t>
        </r>
      </text>
    </comment>
    <comment ref="AB32" authorId="2" shapeId="0" xr:uid="{A7041EDE-16E6-488E-987F-319901614244}">
      <text>
        <r>
          <rPr>
            <b/>
            <sz val="9"/>
            <color indexed="81"/>
            <rFont val="Tahoma"/>
            <family val="2"/>
          </rPr>
          <t>Jan Beutel:</t>
        </r>
        <r>
          <rPr>
            <sz val="9"/>
            <color indexed="81"/>
            <rFont val="Tahoma"/>
            <family val="2"/>
          </rPr>
          <t xml:space="preserve">
new wxt520 sensor
</t>
        </r>
      </text>
    </comment>
    <comment ref="AC32" authorId="7" shapeId="0" xr:uid="{AF231BF3-028F-493A-BFA0-798DED4699A7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vaisala sensor</t>
      </text>
    </comment>
    <comment ref="AH32" authorId="2" shapeId="0" xr:uid="{00000000-0006-0000-0000-000029000000}">
      <text>
        <r>
          <rPr>
            <b/>
            <sz val="9"/>
            <color indexed="81"/>
            <rFont val="Tahoma"/>
            <charset val="1"/>
          </rPr>
          <t>Jan Beutel:</t>
        </r>
        <r>
          <rPr>
            <sz val="9"/>
            <color indexed="81"/>
            <rFont val="Tahoma"/>
            <charset val="1"/>
          </rPr>
          <t xml:space="preserve">
new WXT520 sensor</t>
        </r>
      </text>
    </comment>
    <comment ref="AL32" authorId="0" shapeId="0" xr:uid="{00000000-0006-0000-0000-00002A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reset</t>
        </r>
      </text>
    </comment>
    <comment ref="AM32" authorId="0" shapeId="0" xr:uid="{00000000-0006-0000-0000-00002B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exchanged WXT520 serial N3420071</t>
        </r>
      </text>
    </comment>
    <comment ref="X33" authorId="8" shapeId="0" xr:uid="{E3217E73-017B-41CB-8FC5-30B3A5FA154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battery</t>
      </text>
    </comment>
    <comment ref="AL33" authorId="0" shapeId="0" xr:uid="{00000000-0006-0000-0000-00002C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reset, powercycle ok</t>
        </r>
      </text>
    </comment>
    <comment ref="AU33" authorId="0" shapeId="0" xr:uid="{00000000-0006-0000-0000-00002D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battery replacement</t>
        </r>
      </text>
    </comment>
    <comment ref="G34" authorId="0" shapeId="0" xr:uid="{00000000-0006-0000-0000-00002E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was TH3 before</t>
        </r>
      </text>
    </comment>
    <comment ref="AQ35" authorId="0" shapeId="0" xr:uid="{00000000-0006-0000-0000-00002F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new silica</t>
        </r>
      </text>
    </comment>
    <comment ref="AS35" authorId="0" shapeId="0" xr:uid="{00000000-0006-0000-0000-000030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no response after reset</t>
        </r>
      </text>
    </comment>
    <comment ref="AT35" authorId="0" shapeId="0" xr:uid="{00000000-0006-0000-0000-000031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exchanged SIB battery, reset with magnet</t>
        </r>
      </text>
    </comment>
    <comment ref="AU35" authorId="0" shapeId="0" xr:uid="{00000000-0006-0000-0000-000032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reset with magnet</t>
        </r>
      </text>
    </comment>
    <comment ref="BF35" authorId="0" shapeId="0" xr:uid="{00000000-0006-0000-0000-000033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new firmware</t>
        </r>
      </text>
    </comment>
    <comment ref="AQ36" authorId="0" shapeId="0" xr:uid="{00000000-0006-0000-0000-000034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read out sd card
delete sdcard successful</t>
        </r>
      </text>
    </comment>
    <comment ref="AR36" authorId="0" shapeId="0" xr:uid="{00000000-0006-0000-0000-000035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 xml:space="preserve">read out sd card
</t>
        </r>
      </text>
    </comment>
    <comment ref="U37" authorId="9" shapeId="0" xr:uid="{058E3E39-A23E-404D-A27E-D3559182AE3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battery</t>
      </text>
    </comment>
    <comment ref="X37" authorId="10" shapeId="0" xr:uid="{5A9B8EBC-E449-477B-B1F7-6C1037BE6B6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battery</t>
      </text>
    </comment>
    <comment ref="AB37" authorId="2" shapeId="0" xr:uid="{885CC1F2-9A0C-43A0-B62C-729C5BB64EEA}">
      <text>
        <r>
          <rPr>
            <b/>
            <sz val="9"/>
            <color indexed="81"/>
            <rFont val="Tahoma"/>
            <family val="2"/>
          </rPr>
          <t>Jan Beutel:</t>
        </r>
        <r>
          <rPr>
            <sz val="9"/>
            <color indexed="81"/>
            <rFont val="Tahoma"/>
            <family val="2"/>
          </rPr>
          <t xml:space="preserve">
new battery</t>
        </r>
      </text>
    </comment>
    <comment ref="AI37" authorId="0" shapeId="0" xr:uid="{00000000-0006-0000-0000-000036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battery change</t>
        </r>
      </text>
    </comment>
    <comment ref="AJ37" authorId="0" shapeId="0" xr:uid="{00000000-0006-0000-0000-000037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battery change</t>
        </r>
      </text>
    </comment>
    <comment ref="AQ38" authorId="0" shapeId="0" xr:uid="{00000000-0006-0000-0000-000038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new silica</t>
        </r>
      </text>
    </comment>
    <comment ref="AS38" authorId="0" shapeId="0" xr:uid="{00000000-0006-0000-0000-000039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ok after magnet reset</t>
        </r>
      </text>
    </comment>
    <comment ref="AU38" authorId="0" shapeId="0" xr:uid="{00000000-0006-0000-0000-00003A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reset with magnet</t>
        </r>
      </text>
    </comment>
    <comment ref="BF38" authorId="0" shapeId="0" xr:uid="{00000000-0006-0000-0000-00003B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new firmware</t>
        </r>
      </text>
    </comment>
    <comment ref="BJ38" authorId="0" shapeId="0" xr:uid="{00000000-0006-0000-0000-00003C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reprogrammed SIB with new software queuesize=80</t>
        </r>
      </text>
    </comment>
    <comment ref="AQ39" authorId="0" shapeId="0" xr:uid="{00000000-0006-0000-0000-00003D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new silica</t>
        </r>
      </text>
    </comment>
    <comment ref="AT39" authorId="0" shapeId="0" xr:uid="{00000000-0006-0000-0000-00003E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reset with magnet</t>
        </r>
      </text>
    </comment>
    <comment ref="AU39" authorId="0" shapeId="0" xr:uid="{00000000-0006-0000-0000-00003F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reset with magnet</t>
        </r>
      </text>
    </comment>
    <comment ref="AQ40" authorId="0" shapeId="0" xr:uid="{00000000-0006-0000-0000-000040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azimuth 338deg</t>
        </r>
      </text>
    </comment>
    <comment ref="AQ41" authorId="0" shapeId="0" xr:uid="{00000000-0006-0000-0000-000041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azimuth 137deg
new powerbox S, water damage</t>
        </r>
      </text>
    </comment>
    <comment ref="BI41" authorId="2" shapeId="0" xr:uid="{00000000-0006-0000-0000-000042000000}">
      <text>
        <r>
          <rPr>
            <b/>
            <sz val="9"/>
            <color indexed="81"/>
            <rFont val="Tahoma"/>
            <family val="2"/>
          </rPr>
          <t>Jan Beutel:</t>
        </r>
        <r>
          <rPr>
            <sz val="9"/>
            <color indexed="81"/>
            <rFont val="Tahoma"/>
            <family val="2"/>
          </rPr>
          <t xml:space="preserve">
139 degrees</t>
        </r>
      </text>
    </comment>
    <comment ref="X42" authorId="11" shapeId="0" xr:uid="{720C36BE-9ED3-4CDA-A818-33125F7995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Wireless was not stable
</t>
      </text>
    </comment>
    <comment ref="AQ42" authorId="0" shapeId="0" xr:uid="{00000000-0006-0000-0000-000043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azimuth 010deg</t>
        </r>
      </text>
    </comment>
    <comment ref="AV42" authorId="0" shapeId="0" xr:uid="{00000000-0006-0000-0000-000044000000}">
      <text>
        <r>
          <rPr>
            <sz val="10"/>
            <color indexed="59"/>
            <rFont val="Arial"/>
            <family val="2"/>
          </rPr>
          <t>WGPS Logger Data readout from 09.04.2016 – 10.07.2016, Dozer problems, original device id is 3027</t>
        </r>
      </text>
    </comment>
    <comment ref="AZ42" authorId="2" shapeId="0" xr:uid="{00000000-0006-0000-0000-000045000000}">
      <text>
        <r>
          <rPr>
            <b/>
            <sz val="9"/>
            <color indexed="81"/>
            <rFont val="Tahoma"/>
            <family val="2"/>
          </rPr>
          <t>Jan Beutel:</t>
        </r>
        <r>
          <rPr>
            <sz val="9"/>
            <color indexed="81"/>
            <rFont val="Tahoma"/>
            <family val="2"/>
          </rPr>
          <t xml:space="preserve">
0 degrees</t>
        </r>
      </text>
    </comment>
    <comment ref="BB42" authorId="2" shapeId="0" xr:uid="{00000000-0006-0000-0000-000046000000}">
      <text>
        <r>
          <rPr>
            <b/>
            <sz val="9"/>
            <color indexed="81"/>
            <rFont val="Tahoma"/>
            <family val="2"/>
          </rPr>
          <t>Jan Beutel:</t>
        </r>
        <r>
          <rPr>
            <sz val="9"/>
            <color indexed="81"/>
            <rFont val="Tahoma"/>
            <family val="2"/>
          </rPr>
          <t xml:space="preserve">
0 degrees</t>
        </r>
      </text>
    </comment>
    <comment ref="BF43" authorId="0" shapeId="0" xr:uid="{00000000-0006-0000-0000-000047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data read out</t>
        </r>
      </text>
    </comment>
    <comment ref="BF45" authorId="0" shapeId="0" xr:uid="{00000000-0006-0000-0000-000048000000}">
      <text>
        <r>
          <rPr>
            <b/>
            <sz val="9"/>
            <color rgb="FF000000"/>
            <rFont val="Tahoma"/>
            <family val="2"/>
            <charset val="1"/>
          </rPr>
          <t xml:space="preserve">Jan Beutel:
</t>
        </r>
        <r>
          <rPr>
            <sz val="9"/>
            <color rgb="FF000000"/>
            <rFont val="Tahoma"/>
            <family val="2"/>
            <charset val="1"/>
          </rPr>
          <t>data read out</t>
        </r>
      </text>
    </comment>
    <comment ref="AC51" authorId="12" shapeId="0" xr:uid="{8F349546-491E-41EB-9027-F5705271D839}">
      <text>
        <t>[Threaded comment]
Your version of Excel allows you to read this threaded comment; however, any edits to it will get removed if the file is opened in a newer version of Excel. Learn more: https://go.microsoft.com/fwlink/?linkid=870924
Comment:
    centaur broken</t>
      </text>
    </comment>
    <comment ref="AI52" authorId="2" shapeId="0" xr:uid="{00000000-0006-0000-0000-000049000000}">
      <text>
        <r>
          <rPr>
            <b/>
            <sz val="9"/>
            <color indexed="81"/>
            <rFont val="Tahoma"/>
            <family val="2"/>
          </rPr>
          <t>Jan Beutel:</t>
        </r>
        <r>
          <rPr>
            <sz val="9"/>
            <color indexed="81"/>
            <rFont val="Tahoma"/>
            <family val="2"/>
          </rPr>
          <t xml:space="preserve">
changed to AM.R2D14</t>
        </r>
      </text>
    </comment>
    <comment ref="AG53" authorId="13" shapeId="0" xr:uid="{A8A84A9F-0EF1-4FF4-A437-FC0E176302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6T SR change
</t>
      </text>
    </comment>
    <comment ref="AG54" authorId="14" shapeId="0" xr:uid="{83CC641D-E4E3-4046-BB83-E66EF285BD8B}">
      <text>
        <t>[Threaded comment]
Your version of Excel allows you to read this threaded comment; however, any edits to it will get removed if the file is opened in a newer version of Excel. Learn more: https://go.microsoft.com/fwlink/?linkid=870924
Comment:
    6T SR change</t>
      </text>
    </comment>
    <comment ref="AJ55" authorId="0" shapeId="0" xr:uid="{00000000-0006-0000-0000-00004A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added Ltap mini</t>
        </r>
      </text>
    </comment>
    <comment ref="AH58" authorId="2" shapeId="0" xr:uid="{00000000-0006-0000-0000-00004B000000}">
      <text>
        <r>
          <rPr>
            <b/>
            <sz val="9"/>
            <color indexed="81"/>
            <rFont val="Tahoma"/>
            <charset val="1"/>
          </rPr>
          <t>Jan Beutel:</t>
        </r>
        <r>
          <rPr>
            <sz val="9"/>
            <color indexed="81"/>
            <rFont val="Tahoma"/>
            <charset val="1"/>
          </rPr>
          <t xml:space="preserve">
changed WXT520
</t>
        </r>
      </text>
    </comment>
    <comment ref="AM90" authorId="0" shapeId="0" xr:uid="{00000000-0006-0000-0000-00004C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reset</t>
        </r>
      </text>
    </comment>
    <comment ref="AM94" authorId="0" shapeId="0" xr:uid="{00000000-0006-0000-0000-00004D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reset</t>
        </r>
      </text>
    </comment>
    <comment ref="AM97" authorId="0" shapeId="0" xr:uid="{00000000-0006-0000-0000-00004E000000}">
      <text>
        <r>
          <rPr>
            <b/>
            <sz val="9"/>
            <color rgb="FF000000"/>
            <rFont val="Tahoma"/>
            <family val="2"/>
          </rPr>
          <t xml:space="preserve">Jan Beutel:
</t>
        </r>
        <r>
          <rPr>
            <sz val="9"/>
            <color rgb="FF000000"/>
            <rFont val="Tahoma"/>
            <family val="2"/>
          </rPr>
          <t>reset</t>
        </r>
      </text>
    </comment>
  </commentList>
</comments>
</file>

<file path=xl/sharedStrings.xml><?xml version="1.0" encoding="utf-8"?>
<sst xmlns="http://schemas.openxmlformats.org/spreadsheetml/2006/main" count="942" uniqueCount="379">
  <si>
    <t>Deployment Overview: Matterhorn</t>
  </si>
  <si>
    <t xml:space="preserve"> </t>
  </si>
  <si>
    <t>green = new installation</t>
  </si>
  <si>
    <t>Date</t>
  </si>
  <si>
    <t># Devices</t>
  </si>
  <si>
    <t>Position</t>
  </si>
  <si>
    <t>Label</t>
  </si>
  <si>
    <t>Name</t>
  </si>
  <si>
    <t>Comment</t>
  </si>
  <si>
    <t>Host Name</t>
  </si>
  <si>
    <t>Device Type</t>
  </si>
  <si>
    <t>Sensor Type</t>
  </si>
  <si>
    <t>Sensor ID</t>
  </si>
  <si>
    <t>Power Supply</t>
  </si>
  <si>
    <t>Coordinates</t>
  </si>
  <si>
    <t>Device ID</t>
  </si>
  <si>
    <t>PowerBox ID</t>
  </si>
  <si>
    <t>Solar Panel</t>
  </si>
  <si>
    <t>CR Length</t>
  </si>
  <si>
    <t>GPS X</t>
  </si>
  <si>
    <t>GPS Y</t>
  </si>
  <si>
    <t>GPS Alt</t>
  </si>
  <si>
    <t>Base Station Matterhorn</t>
  </si>
  <si>
    <t>permasense-mh-bs01</t>
  </si>
  <si>
    <t>GSM CoreStation</t>
  </si>
  <si>
    <t>Detachment Right</t>
  </si>
  <si>
    <t>aspect 95, slope 75</t>
  </si>
  <si>
    <t>SIB TinyNode</t>
  </si>
  <si>
    <t>TC + NCTT</t>
  </si>
  <si>
    <t>00:00:10:47:00:91</t>
  </si>
  <si>
    <t>Detachment Bottom Lower</t>
  </si>
  <si>
    <t>aspect 80, slope 50</t>
  </si>
  <si>
    <t>CCNN (was TC + NCTT)</t>
  </si>
  <si>
    <t>00:00:0f:c1:0f:ea</t>
  </si>
  <si>
    <t>50,150 (was 50)</t>
  </si>
  <si>
    <t>North Top</t>
  </si>
  <si>
    <t>aspect 350, slope 65</t>
  </si>
  <si>
    <t>00:00:10:48:7c:e3</t>
  </si>
  <si>
    <t>Pass North</t>
  </si>
  <si>
    <t>aspect 320, slope 70</t>
  </si>
  <si>
    <t>00:00:10:47:88:de</t>
  </si>
  <si>
    <t>Detachment Top Right</t>
  </si>
  <si>
    <t>SIB TinyNode RS485</t>
  </si>
  <si>
    <t>TM + NEPN + PS</t>
  </si>
  <si>
    <t>00:00:10:47:20:7f</t>
  </si>
  <si>
    <t>Detachment Top Left</t>
  </si>
  <si>
    <t>aspect 90, slope 60</t>
  </si>
  <si>
    <t>TCTC</t>
  </si>
  <si>
    <t>00:00:0f:c1:03:28</t>
  </si>
  <si>
    <t>Tower Middle</t>
  </si>
  <si>
    <t>00:00:0f:c1:17:2b</t>
  </si>
  <si>
    <t>Tower Bottom</t>
  </si>
  <si>
    <t>aspect 50, slope 90</t>
  </si>
  <si>
    <t>SR + NCTC</t>
  </si>
  <si>
    <t>00:00:0f:bd:85:68</t>
  </si>
  <si>
    <t>Leaning Tower</t>
  </si>
  <si>
    <t>CCCT</t>
  </si>
  <si>
    <t>00:00:13:14:f3:72</t>
  </si>
  <si>
    <t>South Face</t>
  </si>
  <si>
    <t>aspect 140, slope 90</t>
  </si>
  <si>
    <t>SR + NTNN</t>
  </si>
  <si>
    <t>00:00:0f:bd:8a:ab</t>
  </si>
  <si>
    <t>Face North</t>
  </si>
  <si>
    <t>aspect 340, slope 70</t>
  </si>
  <si>
    <t>SENSORROD_TTTTTT</t>
  </si>
  <si>
    <t>Tower Top</t>
  </si>
  <si>
    <t>aspect 45, slope 85</t>
  </si>
  <si>
    <t>00:00:0f:bd:8e:fd</t>
  </si>
  <si>
    <t>remove</t>
  </si>
  <si>
    <t>Detachment Bottom Upper</t>
  </si>
  <si>
    <t>removed 08/2014, position should not be reused</t>
  </si>
  <si>
    <t>SP</t>
  </si>
  <si>
    <t>Powerbox Base Station</t>
  </si>
  <si>
    <t>61, XL, inv 07/2016</t>
  </si>
  <si>
    <t>3x95 Watt, 1x60 Watt</t>
  </si>
  <si>
    <t>Net Radiometer Shortwave + Temp</t>
  </si>
  <si>
    <t>SIB needs ADC prescaler adaptation!</t>
  </si>
  <si>
    <t>CNR4 + TEMP</t>
  </si>
  <si>
    <t>Net Radiometer Longwave</t>
  </si>
  <si>
    <t>CNR4</t>
  </si>
  <si>
    <t>Crackmeter Basestation</t>
  </si>
  <si>
    <t>aspect 140, slope 20</t>
  </si>
  <si>
    <t>CNNN</t>
  </si>
  <si>
    <t>CamZilla CoreStation</t>
  </si>
  <si>
    <t>permasense-mh-cam01</t>
  </si>
  <si>
    <t>Nikon D300</t>
  </si>
  <si>
    <t>aspect 70, slpoe 70</t>
  </si>
  <si>
    <t>CCNN</t>
  </si>
  <si>
    <t>00:00:13:14:df:98</t>
  </si>
  <si>
    <t>South Large Bottom Crack</t>
  </si>
  <si>
    <t>aspect 70, slope 85</t>
  </si>
  <si>
    <t>00:00:13:14:f3:39</t>
  </si>
  <si>
    <t>100,200 (was 100,150)</t>
  </si>
  <si>
    <t>North Bottom Flank</t>
  </si>
  <si>
    <t>00:00:13:14:f3:3e</t>
  </si>
  <si>
    <t>Webcam Power Switch</t>
  </si>
  <si>
    <t>permasense-mh-cam02</t>
  </si>
  <si>
    <t>PowerSwitch TN</t>
  </si>
  <si>
    <t>Webcam</t>
  </si>
  <si>
    <t>Relay Ridge Eisloch</t>
  </si>
  <si>
    <t>on top of Eisloch tower</t>
  </si>
  <si>
    <t>WXT520</t>
  </si>
  <si>
    <t>L2 GPS Power Switch</t>
  </si>
  <si>
    <t>Port 1: Mikrotik / Port 2: L2 GPS</t>
  </si>
  <si>
    <t>permasense-mh-gps01-st</t>
  </si>
  <si>
    <t>L2 GPS</t>
  </si>
  <si>
    <t>Temperature Detachment Left</t>
  </si>
  <si>
    <t>aspect 90, slope 70</t>
  </si>
  <si>
    <t>Powerbox Detachment Top</t>
  </si>
  <si>
    <t>32, XL, inv. 21.09.2015</t>
  </si>
  <si>
    <t>1x95 Watt</t>
  </si>
  <si>
    <t>Acoustic Emission</t>
  </si>
  <si>
    <t>AE TinyNode</t>
  </si>
  <si>
    <t>Temperature Detachment North Face</t>
  </si>
  <si>
    <t>aspect 340, slope 90</t>
  </si>
  <si>
    <t>TH3</t>
  </si>
  <si>
    <t>Powerbox Base Station Extension</t>
  </si>
  <si>
    <t>34, XL, inv 07/2016</t>
  </si>
  <si>
    <t>Powerbox Detachment Top Extension</t>
  </si>
  <si>
    <t>33, XL, inv. 21.09.2015</t>
  </si>
  <si>
    <t>2x95 Watt</t>
  </si>
  <si>
    <t>MH33</t>
  </si>
  <si>
    <t>GPS Detachment Top</t>
  </si>
  <si>
    <t>GPS Wireless</t>
  </si>
  <si>
    <t>GPS</t>
  </si>
  <si>
    <t>MH34</t>
  </si>
  <si>
    <t>GPS Little Tower Base Station</t>
  </si>
  <si>
    <t>30 Watt</t>
  </si>
  <si>
    <t>MH35</t>
  </si>
  <si>
    <t>MH36</t>
  </si>
  <si>
    <t>Geophone Detachment Left</t>
  </si>
  <si>
    <t>permasense-mh-geo01</t>
  </si>
  <si>
    <r>
      <rPr>
        <sz val="10"/>
        <rFont val="Verdana"/>
        <family val="2"/>
        <charset val="1"/>
      </rPr>
      <t>Centaur-3 (S/N: 0</t>
    </r>
    <r>
      <rPr>
        <sz val="10"/>
        <rFont val="Arial"/>
        <family val="2"/>
      </rPr>
      <t>723)</t>
    </r>
  </si>
  <si>
    <t>Seismometer: (A) Lennartz LE3D-lite MkIII</t>
  </si>
  <si>
    <r>
      <rPr>
        <sz val="10"/>
        <rFont val="Verdana"/>
        <family val="2"/>
        <charset val="1"/>
      </rPr>
      <t xml:space="preserve">(A) </t>
    </r>
    <r>
      <rPr>
        <sz val="10"/>
        <rFont val="Arial"/>
        <family val="2"/>
      </rPr>
      <t>B-127 or B-128</t>
    </r>
  </si>
  <si>
    <t>geophone</t>
  </si>
  <si>
    <t>MH38</t>
  </si>
  <si>
    <t>Geophone Detachment Top</t>
  </si>
  <si>
    <t>permasense-mh-geo02</t>
  </si>
  <si>
    <t>Seismometer: (A) Lennartz LE3D-lite  MkIII; (B) NaN</t>
  </si>
  <si>
    <t>MH40</t>
  </si>
  <si>
    <t>permasense-mh-ims01</t>
  </si>
  <si>
    <t>GPS, IMS System</t>
  </si>
  <si>
    <r>
      <rPr>
        <sz val="10"/>
        <rFont val="Verdana"/>
        <family val="2"/>
        <charset val="1"/>
      </rPr>
      <t xml:space="preserve">(A) </t>
    </r>
    <r>
      <rPr>
        <sz val="10"/>
        <rFont val="Arial"/>
        <family val="2"/>
      </rPr>
      <t>C-220</t>
    </r>
  </si>
  <si>
    <t>Webcam Hoernlihuette to MH Summit</t>
  </si>
  <si>
    <t>HOGR</t>
  </si>
  <si>
    <t>L2 GPS Reference</t>
  </si>
  <si>
    <t>permasense-mh-gps01</t>
  </si>
  <si>
    <t>Leica GNSS 1200</t>
  </si>
  <si>
    <t>MH43</t>
  </si>
  <si>
    <t>DPP/GPS CoreStation</t>
  </si>
  <si>
    <t>permasense-mh-bs03</t>
  </si>
  <si>
    <t>GSM/GPS CoreStation</t>
  </si>
  <si>
    <t>MH44</t>
  </si>
  <si>
    <t>Geophone Base Station</t>
  </si>
  <si>
    <t>permasense-mh-geo03</t>
  </si>
  <si>
    <r>
      <rPr>
        <sz val="10"/>
        <rFont val="Verdana"/>
        <family val="2"/>
        <charset val="1"/>
      </rPr>
      <t xml:space="preserve">Centaur-3 (S/N: </t>
    </r>
    <r>
      <rPr>
        <sz val="10"/>
        <rFont val="Arial"/>
        <family val="2"/>
      </rPr>
      <t>3250)</t>
    </r>
  </si>
  <si>
    <t>MH45</t>
  </si>
  <si>
    <t>Geophone RaspberryShake Base Station</t>
  </si>
  <si>
    <t>AM.R050E</t>
  </si>
  <si>
    <t>permasense-mh-geo04</t>
  </si>
  <si>
    <t xml:space="preserve">raspberryshake 3D </t>
  </si>
  <si>
    <t>Geophone</t>
  </si>
  <si>
    <t>Solvay Tower</t>
  </si>
  <si>
    <t>aspect 80, slope 100</t>
  </si>
  <si>
    <t>Solvay Mosley</t>
  </si>
  <si>
    <t>aspect 210, slope 80</t>
  </si>
  <si>
    <t>MH48</t>
  </si>
  <si>
    <t>Geophone Solvay Hut</t>
  </si>
  <si>
    <t>permasense-mh-geo05</t>
  </si>
  <si>
    <r>
      <rPr>
        <sz val="10"/>
        <rFont val="Verdana"/>
        <family val="2"/>
        <charset val="1"/>
      </rPr>
      <t>Centaur-6 (S/N: 0</t>
    </r>
    <r>
      <rPr>
        <sz val="10"/>
        <rFont val="Arial"/>
        <family val="2"/>
      </rPr>
      <t>380)</t>
    </r>
  </si>
  <si>
    <t>Seismometer: (A) Lennartz LE3D-lite MkIII; (B) Nanometrics Trillium Compact 20s</t>
  </si>
  <si>
    <r>
      <rPr>
        <sz val="10"/>
        <rFont val="Verdana"/>
        <family val="2"/>
        <charset val="1"/>
      </rPr>
      <t xml:space="preserve">(A) </t>
    </r>
    <r>
      <rPr>
        <sz val="10"/>
        <rFont val="Arial"/>
        <family val="2"/>
      </rPr>
      <t>F-0532; (B) 6513</t>
    </r>
  </si>
  <si>
    <t>Powerbox Solvay Hut</t>
  </si>
  <si>
    <t>Weather Station Solvay</t>
  </si>
  <si>
    <t>MH52</t>
  </si>
  <si>
    <t>Geophone Glacier Forefield</t>
  </si>
  <si>
    <t>permasense-mh-geo06</t>
  </si>
  <si>
    <t>Seismometer: (A) Nanometrics Trillium Compact 20s</t>
  </si>
  <si>
    <r>
      <rPr>
        <sz val="10"/>
        <rFont val="Verdana"/>
        <family val="2"/>
        <charset val="1"/>
      </rPr>
      <t xml:space="preserve">(A) </t>
    </r>
    <r>
      <rPr>
        <sz val="11"/>
        <color rgb="FF000000"/>
        <rFont val="Calibri"/>
        <family val="2"/>
      </rPr>
      <t>006110</t>
    </r>
  </si>
  <si>
    <t>M</t>
  </si>
  <si>
    <t>95 Watt</t>
  </si>
  <si>
    <t>GPP Ridge Bottom</t>
  </si>
  <si>
    <t>pass edge detachment</t>
  </si>
  <si>
    <t>GPP</t>
  </si>
  <si>
    <t>GPP Ridge above Pos 1</t>
  </si>
  <si>
    <t>ridge above pos 1</t>
  </si>
  <si>
    <t>GPP North Top</t>
  </si>
  <si>
    <t>north face near pos 4</t>
  </si>
  <si>
    <t>GPP Detachment Left</t>
  </si>
  <si>
    <t>detachment left near pos 36 (geophone)</t>
  </si>
  <si>
    <t>GPP Detachment Top</t>
  </si>
  <si>
    <t>detachment top near pos 38 (geophone)</t>
  </si>
  <si>
    <t>GPP Crackemeter Basestation</t>
  </si>
  <si>
    <t>near crackmeter basestation pos 18</t>
  </si>
  <si>
    <t>GPP Detachment Crack Bottom</t>
  </si>
  <si>
    <t>bottom detachment near pos 20</t>
  </si>
  <si>
    <t>GPP Detachment Bottom Exit</t>
  </si>
  <si>
    <t>very bottom detachment</t>
  </si>
  <si>
    <t>GPP Bottom Traverse</t>
  </si>
  <si>
    <t>on traverse</t>
  </si>
  <si>
    <t>Matterhorn measurement setup:</t>
  </si>
  <si>
    <t>Spot</t>
  </si>
  <si>
    <t>Sensors</t>
  </si>
  <si>
    <t>Crackmeter</t>
  </si>
  <si>
    <t>Multiplexer Box</t>
  </si>
  <si>
    <t>Sensor Id</t>
  </si>
  <si>
    <t>a</t>
  </si>
  <si>
    <t>cleft temperature evolution &amp; crackmeter</t>
  </si>
  <si>
    <t>thermistor chain, 50cm spacing in cleft</t>
  </si>
  <si>
    <t>TC</t>
  </si>
  <si>
    <t>crackmeter CR_dx</t>
  </si>
  <si>
    <t>NCTT</t>
  </si>
  <si>
    <t>crackmeter CR_T</t>
  </si>
  <si>
    <t>rocksurface temperature (2cm)</t>
  </si>
  <si>
    <t>b</t>
  </si>
  <si>
    <t>c</t>
  </si>
  <si>
    <t>d</t>
  </si>
  <si>
    <t>e</t>
  </si>
  <si>
    <t>node1:   pressure and cleft cond. measurem.</t>
  </si>
  <si>
    <t>thermistor / moisture chain, 50cm spacing in cleft</t>
  </si>
  <si>
    <t>TM</t>
  </si>
  <si>
    <t>earthpres. Cell temperature EP_T</t>
  </si>
  <si>
    <t>NEPN</t>
  </si>
  <si>
    <t>earthpressure cell EP_p</t>
  </si>
  <si>
    <t>digital measurements; pressure, watherlevel, temp., power</t>
  </si>
  <si>
    <t>PS</t>
  </si>
  <si>
    <t>node2: movements and rockcondition</t>
  </si>
  <si>
    <t>crackmeter CR2_T</t>
  </si>
  <si>
    <t>crackmeter CR1_dx</t>
  </si>
  <si>
    <t>crackmeter CR1_T</t>
  </si>
  <si>
    <t>crackmeter CR2_dx</t>
  </si>
  <si>
    <t>f</t>
  </si>
  <si>
    <t>sensorrod</t>
  </si>
  <si>
    <t>SR</t>
  </si>
  <si>
    <t>NCTC</t>
  </si>
  <si>
    <t>movements and rockcondition</t>
  </si>
  <si>
    <t>TEMP1</t>
  </si>
  <si>
    <t>MUX1</t>
  </si>
  <si>
    <t>1314F372</t>
  </si>
  <si>
    <t>TCCC</t>
  </si>
  <si>
    <t>crackmeter CR3_dx</t>
  </si>
  <si>
    <t>h</t>
  </si>
  <si>
    <t xml:space="preserve">rock temperature &amp; moisture evolution </t>
  </si>
  <si>
    <t>rock surface temperature TEMP1</t>
  </si>
  <si>
    <t>NTNN</t>
  </si>
  <si>
    <t>j</t>
  </si>
  <si>
    <t>k</t>
  </si>
  <si>
    <t>L</t>
  </si>
  <si>
    <t xml:space="preserve">test self potential </t>
  </si>
  <si>
    <t>analog differential 1 Adiff_1</t>
  </si>
  <si>
    <t>analog differential 1 Adiff_2</t>
  </si>
  <si>
    <t>MUX2</t>
  </si>
  <si>
    <t>1314F33E</t>
  </si>
  <si>
    <t>x</t>
  </si>
  <si>
    <t>MUX3</t>
  </si>
  <si>
    <t>1314DF98</t>
  </si>
  <si>
    <t>MUX4</t>
  </si>
  <si>
    <t>1314F339</t>
  </si>
  <si>
    <t>Centaur-3 (S/N: 5048)</t>
  </si>
  <si>
    <t>MH54</t>
  </si>
  <si>
    <t>Geophone Matterhorn Summit</t>
  </si>
  <si>
    <r>
      <t>Centaur-6 (S/N: 4044</t>
    </r>
    <r>
      <rPr>
        <sz val="10"/>
        <rFont val="Arial"/>
        <family val="2"/>
      </rPr>
      <t>)</t>
    </r>
  </si>
  <si>
    <t>azimuth 338</t>
  </si>
  <si>
    <t>azimuth 137</t>
  </si>
  <si>
    <t>azimuth 010</t>
  </si>
  <si>
    <t>Base Station Matterhorn Top</t>
  </si>
  <si>
    <t>Relay Hoernlihuette</t>
  </si>
  <si>
    <t>Radiochannel = 16</t>
  </si>
  <si>
    <t>blue = change network SX1211_CHANNEL=16</t>
  </si>
  <si>
    <t>RA12/MH38</t>
  </si>
  <si>
    <t>RA11/MH36</t>
  </si>
  <si>
    <t>BH55</t>
  </si>
  <si>
    <t>data</t>
  </si>
  <si>
    <t>DP</t>
  </si>
  <si>
    <t>SH</t>
  </si>
  <si>
    <t>CCS10u</t>
  </si>
  <si>
    <t>NA</t>
  </si>
  <si>
    <t>PERMOS Matterhorn Borehole MAT_0205</t>
  </si>
  <si>
    <t>CCS carrel hut south</t>
  </si>
  <si>
    <t>CCW carrel hut west</t>
  </si>
  <si>
    <t>CCS10u borehole carrel hut south (9 m)</t>
  </si>
  <si>
    <t>VCS summit south</t>
  </si>
  <si>
    <t>VCN summit north</t>
  </si>
  <si>
    <t>DP borehole cime bianche deep (41 m)</t>
  </si>
  <si>
    <t>SH borehole cime bianche shallow (6 m)</t>
  </si>
  <si>
    <t>MH65</t>
  </si>
  <si>
    <t>VCN</t>
  </si>
  <si>
    <t>VCS</t>
  </si>
  <si>
    <t>CCW</t>
  </si>
  <si>
    <t>CCS</t>
  </si>
  <si>
    <t>Breithorn Hanging Glacier</t>
  </si>
  <si>
    <t>Breithorn Hanging Glacier Relay</t>
  </si>
  <si>
    <t>S</t>
  </si>
  <si>
    <t>XL</t>
  </si>
  <si>
    <t>https://hoernlihuette.mhgroup.ch/file.jpg</t>
  </si>
  <si>
    <t>Hoernlihuette Basestation</t>
  </si>
  <si>
    <t>permasense-hh-bs01</t>
  </si>
  <si>
    <t>Webcam Hirli</t>
  </si>
  <si>
    <t>MH53</t>
  </si>
  <si>
    <t>MH56</t>
  </si>
  <si>
    <t>Camera 2nd Couloir CoreStation</t>
  </si>
  <si>
    <t xml:space="preserve">Detachment Bottom Crack </t>
  </si>
  <si>
    <t>Weather Station 2nd Couloir</t>
  </si>
  <si>
    <t>GPS Japaner Couloir</t>
  </si>
  <si>
    <t>CCS Carrel Hut South</t>
  </si>
  <si>
    <t>CCW Carrel Hut West</t>
  </si>
  <si>
    <t>CCS10u Borehole Carrel Hut South (9 m)</t>
  </si>
  <si>
    <t>VCS Summit South</t>
  </si>
  <si>
    <t>VCN Summit North</t>
  </si>
  <si>
    <t>DP Borehole Cime Bianche Deep (41 m)</t>
  </si>
  <si>
    <t>SH Borehole Cime Bianche Shallow (6 m)</t>
  </si>
  <si>
    <t>PERMOS Borehole Matterhorn MAT_0205</t>
  </si>
  <si>
    <t>SLF Borehole Hoernlihuette</t>
  </si>
  <si>
    <t>MH67</t>
  </si>
  <si>
    <t>MH01</t>
  </si>
  <si>
    <t>temperature_rock</t>
  </si>
  <si>
    <t>nearsurface_t1</t>
  </si>
  <si>
    <t>nearsurface_t2</t>
  </si>
  <si>
    <t>MH02</t>
  </si>
  <si>
    <t>temperature_fracture</t>
  </si>
  <si>
    <t>temperature_10cm</t>
  </si>
  <si>
    <t>temperature_30cm</t>
  </si>
  <si>
    <t>temperature_40cm</t>
  </si>
  <si>
    <t>temperature_50cm</t>
  </si>
  <si>
    <t>temperature_60cm</t>
  </si>
  <si>
    <t>temperature_70cm</t>
  </si>
  <si>
    <t>temperature_75cm</t>
  </si>
  <si>
    <t>temperature_80cm</t>
  </si>
  <si>
    <t>MH03</t>
  </si>
  <si>
    <t>temperature_85cm</t>
  </si>
  <si>
    <t>MH04</t>
  </si>
  <si>
    <t>temperature_5cm</t>
  </si>
  <si>
    <t>temperature_20cm</t>
  </si>
  <si>
    <t>temperature_35cm</t>
  </si>
  <si>
    <t>MH05</t>
  </si>
  <si>
    <t>temperature_150cm</t>
  </si>
  <si>
    <t>temperature_180cm</t>
  </si>
  <si>
    <t>MH06</t>
  </si>
  <si>
    <t>MH07</t>
  </si>
  <si>
    <t>temperature_100cm</t>
  </si>
  <si>
    <t>temperature_200cm</t>
  </si>
  <si>
    <t>temperature_300cm</t>
  </si>
  <si>
    <t>MH08</t>
  </si>
  <si>
    <t>MH09</t>
  </si>
  <si>
    <t>MH10</t>
  </si>
  <si>
    <t>MH11</t>
  </si>
  <si>
    <t>MH12</t>
  </si>
  <si>
    <t>MH27</t>
  </si>
  <si>
    <t>MH30</t>
  </si>
  <si>
    <t>MH46</t>
  </si>
  <si>
    <t>MH47</t>
  </si>
  <si>
    <t>temperature_3cm</t>
  </si>
  <si>
    <t>temperature_55cm</t>
  </si>
  <si>
    <t>temperature_250cm</t>
  </si>
  <si>
    <t>temperature_2cm</t>
  </si>
  <si>
    <t>temperature_160cm</t>
  </si>
  <si>
    <t>temperature_260cm</t>
  </si>
  <si>
    <t>temperature_175cm</t>
  </si>
  <si>
    <t>temperature_275cm</t>
  </si>
  <si>
    <t>temperature_225cm</t>
  </si>
  <si>
    <t>lost</t>
  </si>
  <si>
    <t>GNSS tower</t>
  </si>
  <si>
    <t>CoreStation Hoernlihuette GNSS</t>
  </si>
  <si>
    <t>Camera Ridge Detachment</t>
  </si>
  <si>
    <t>GNSS Hoernlihuette (ex HOGR)</t>
  </si>
  <si>
    <t>HOHU</t>
  </si>
  <si>
    <t>dragino-s31b-lb-001</t>
  </si>
  <si>
    <t>Kettensatz Temperature 1</t>
  </si>
  <si>
    <t>Kettensatz Temperature 2</t>
  </si>
  <si>
    <t>Relay</t>
  </si>
  <si>
    <t>dragino-ltc2-si-001</t>
  </si>
  <si>
    <t>dragino-s31b-lb-002</t>
  </si>
  <si>
    <t>adeunis-arf8180bc-001</t>
  </si>
  <si>
    <t>Kettensatz LoRa Weather Station</t>
  </si>
  <si>
    <t>Kettensatz LoRa Temperature 3</t>
  </si>
  <si>
    <t>2nd Couloir LoRa Weather Station</t>
  </si>
  <si>
    <t>South Face Pos10 Temperature 3</t>
  </si>
  <si>
    <t>South Face Pos10 Temperature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</si>
</sst>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7" formatCode="yyyy\/mm\/dd"/>
  </numFmts>
  <fonts count="26" x14ac:knownFonts="1">
    <font>
      <sz val="10"/>
      <name val="Arial"/>
      <family val="2"/>
      <charset val="1"/>
    </font>
    <font>
      <sz val="10"/>
      <name val="Arial"/>
      <family val="2"/>
    </font>
    <font>
      <b/>
      <sz val="10"/>
      <name val="Verdana"/>
      <family val="2"/>
      <charset val="1"/>
    </font>
    <font>
      <sz val="10"/>
      <name val="Verdana"/>
      <family val="2"/>
      <charset val="1"/>
    </font>
    <font>
      <b/>
      <sz val="10"/>
      <name val="Arial"/>
      <family val="2"/>
      <charset val="1"/>
    </font>
    <font>
      <sz val="11"/>
      <color rgb="FF000000"/>
      <name val="Calibri"/>
      <family val="2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b/>
      <sz val="8"/>
      <color rgb="FF000000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8"/>
      <color rgb="FF141312"/>
      <name val="Tahoma"/>
      <family val="2"/>
      <charset val="1"/>
    </font>
    <font>
      <sz val="8"/>
      <color rgb="FF141312"/>
      <name val="Tahoma"/>
      <family val="2"/>
      <charset val="1"/>
    </font>
    <font>
      <b/>
      <sz val="9"/>
      <name val="Verdana"/>
      <family val="2"/>
      <charset val="1"/>
    </font>
    <font>
      <b/>
      <sz val="8"/>
      <name val="Verdana"/>
      <family val="2"/>
      <charset val="1"/>
    </font>
    <font>
      <sz val="8"/>
      <name val="Verdan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59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Verdana"/>
      <family val="2"/>
    </font>
    <font>
      <u/>
      <sz val="10"/>
      <color theme="10"/>
      <name val="Arial"/>
      <family val="2"/>
      <charset val="1"/>
    </font>
    <font>
      <b/>
      <sz val="10"/>
      <name val="Arial"/>
      <family val="2"/>
    </font>
    <font>
      <b/>
      <sz val="10"/>
      <name val="Verdana"/>
      <family val="2"/>
    </font>
  </fonts>
  <fills count="25">
    <fill>
      <patternFill patternType="none"/>
    </fill>
    <fill>
      <patternFill patternType="gray125"/>
    </fill>
    <fill>
      <patternFill patternType="solid">
        <fgColor rgb="FF1FB714"/>
        <bgColor rgb="FF00AE00"/>
      </patternFill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92D050"/>
        <bgColor rgb="FF70AD47"/>
      </patternFill>
    </fill>
    <fill>
      <patternFill patternType="solid">
        <fgColor rgb="FF00AE00"/>
        <bgColor rgb="FF1FB714"/>
      </patternFill>
    </fill>
    <fill>
      <patternFill patternType="solid">
        <fgColor rgb="FF00B050"/>
        <bgColor rgb="FF00AE00"/>
      </patternFill>
    </fill>
    <fill>
      <patternFill patternType="solid">
        <fgColor rgb="FFFFFF00"/>
        <bgColor rgb="FFFCF305"/>
      </patternFill>
    </fill>
    <fill>
      <patternFill patternType="solid">
        <fgColor rgb="FF70AD47"/>
        <bgColor rgb="FF92D050"/>
      </patternFill>
    </fill>
    <fill>
      <patternFill patternType="solid">
        <fgColor rgb="FFFFFFFF"/>
        <bgColor rgb="FFFFFFCC"/>
      </patternFill>
    </fill>
    <fill>
      <patternFill patternType="solid">
        <fgColor rgb="FF66CCFF"/>
        <bgColor rgb="FF33CCCC"/>
      </patternFill>
    </fill>
    <fill>
      <patternFill patternType="solid">
        <fgColor rgb="FFFCF305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FFFF99"/>
        <bgColor rgb="FFFFFFCC"/>
      </patternFill>
    </fill>
    <fill>
      <patternFill patternType="solid">
        <fgColor rgb="FF666699"/>
        <bgColor rgb="FF80808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93300"/>
      </patternFill>
    </fill>
    <fill>
      <patternFill patternType="solid">
        <fgColor rgb="FF92D050"/>
        <bgColor rgb="FF00AE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70AD47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1F1C1B"/>
      </bottom>
      <diagonal/>
    </border>
    <border>
      <left/>
      <right/>
      <top style="thin">
        <color rgb="FF1F1C1B"/>
      </top>
      <bottom style="thin">
        <color rgb="FF1F1C1B"/>
      </bottom>
      <diagonal/>
    </border>
    <border>
      <left/>
      <right/>
      <top style="thin">
        <color rgb="FF3C3C3C"/>
      </top>
      <bottom style="thin">
        <color rgb="FF3C3C3C"/>
      </bottom>
      <diagonal/>
    </border>
    <border>
      <left/>
      <right/>
      <top style="thin">
        <color rgb="FF1F1C1B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3C3C3C"/>
      </top>
      <bottom/>
      <diagonal/>
    </border>
    <border>
      <left/>
      <right/>
      <top style="thin">
        <color rgb="FF31363B"/>
      </top>
      <bottom/>
      <diagonal/>
    </border>
    <border>
      <left/>
      <right/>
      <top style="thin">
        <color rgb="FF31363B"/>
      </top>
      <bottom style="thin">
        <color rgb="FF31363B"/>
      </bottom>
      <diagonal/>
    </border>
    <border>
      <left/>
      <right/>
      <top/>
      <bottom style="thin">
        <color rgb="FF31363B"/>
      </bottom>
      <diagonal/>
    </border>
    <border>
      <left/>
      <right/>
      <top style="thin">
        <color auto="1"/>
      </top>
      <bottom style="thin">
        <color rgb="FF31363B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31363B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141312"/>
      </left>
      <right style="thin">
        <color rgb="FF141312"/>
      </right>
      <top style="thin">
        <color rgb="FF141312"/>
      </top>
      <bottom style="thin">
        <color rgb="FF14131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141312"/>
      </left>
      <right style="thin">
        <color rgb="FF141312"/>
      </right>
      <top style="thin">
        <color rgb="FF141312"/>
      </top>
      <bottom/>
      <diagonal/>
    </border>
    <border>
      <left style="thin">
        <color rgb="FF141312"/>
      </left>
      <right style="thin">
        <color rgb="FF141312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141312"/>
      </left>
      <right style="thin">
        <color rgb="FF141312"/>
      </right>
      <top/>
      <bottom style="thin">
        <color rgb="FF141312"/>
      </bottom>
      <diagonal/>
    </border>
    <border>
      <left/>
      <right/>
      <top style="thin">
        <color rgb="FF141312"/>
      </top>
      <bottom style="thin">
        <color rgb="FF14131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/>
      <diagonal/>
    </border>
    <border>
      <left style="thin">
        <color rgb="FF003300"/>
      </left>
      <right style="thin">
        <color rgb="FF003300"/>
      </right>
      <top/>
      <bottom style="thin">
        <color rgb="FF0033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82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right"/>
      <protection locked="0"/>
    </xf>
    <xf numFmtId="0" fontId="0" fillId="3" borderId="0" xfId="0" applyFill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Protection="1">
      <protection locked="0"/>
    </xf>
    <xf numFmtId="0" fontId="2" fillId="4" borderId="0" xfId="0" applyFont="1" applyFill="1" applyProtection="1">
      <protection locked="0"/>
    </xf>
    <xf numFmtId="0" fontId="4" fillId="3" borderId="0" xfId="0" applyFont="1" applyFill="1" applyProtection="1">
      <protection locked="0"/>
    </xf>
    <xf numFmtId="2" fontId="4" fillId="3" borderId="0" xfId="0" applyNumberFormat="1" applyFont="1" applyFill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left"/>
      <protection locked="0"/>
    </xf>
    <xf numFmtId="164" fontId="3" fillId="0" borderId="1" xfId="0" applyNumberFormat="1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1" xfId="0" applyFont="1" applyBorder="1"/>
    <xf numFmtId="0" fontId="3" fillId="0" borderId="1" xfId="0" applyFont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2" fillId="5" borderId="2" xfId="0" applyFont="1" applyFill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4" fontId="3" fillId="0" borderId="2" xfId="0" applyNumberFormat="1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2" xfId="0" applyFont="1" applyBorder="1"/>
    <xf numFmtId="0" fontId="3" fillId="2" borderId="2" xfId="0" applyFont="1" applyFill="1" applyBorder="1" applyProtection="1"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>
      <alignment horizontal="right"/>
    </xf>
    <xf numFmtId="0" fontId="3" fillId="5" borderId="2" xfId="0" applyFont="1" applyFill="1" applyBorder="1" applyProtection="1">
      <protection locked="0"/>
    </xf>
    <xf numFmtId="0" fontId="3" fillId="7" borderId="2" xfId="0" applyFont="1" applyFill="1" applyBorder="1" applyProtection="1">
      <protection locked="0"/>
    </xf>
    <xf numFmtId="0" fontId="3" fillId="6" borderId="2" xfId="0" applyFont="1" applyFill="1" applyBorder="1" applyProtection="1">
      <protection locked="0"/>
    </xf>
    <xf numFmtId="0" fontId="3" fillId="8" borderId="2" xfId="0" applyFont="1" applyFill="1" applyBorder="1"/>
    <xf numFmtId="0" fontId="3" fillId="8" borderId="2" xfId="0" applyFont="1" applyFill="1" applyBorder="1" applyProtection="1">
      <protection locked="0"/>
    </xf>
    <xf numFmtId="3" fontId="3" fillId="0" borderId="2" xfId="0" applyNumberFormat="1" applyFont="1" applyBorder="1"/>
    <xf numFmtId="0" fontId="3" fillId="0" borderId="3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4" xfId="0" applyFont="1" applyBorder="1" applyProtection="1">
      <protection locked="0"/>
    </xf>
    <xf numFmtId="0" fontId="3" fillId="9" borderId="4" xfId="0" applyFont="1" applyFill="1" applyBorder="1" applyProtection="1">
      <protection locked="0"/>
    </xf>
    <xf numFmtId="0" fontId="3" fillId="2" borderId="4" xfId="0" applyFont="1" applyFill="1" applyBorder="1" applyProtection="1">
      <protection locked="0"/>
    </xf>
    <xf numFmtId="0" fontId="3" fillId="2" borderId="2" xfId="0" applyFont="1" applyFill="1" applyBorder="1"/>
    <xf numFmtId="0" fontId="3" fillId="0" borderId="3" xfId="0" applyFont="1" applyBorder="1"/>
    <xf numFmtId="0" fontId="3" fillId="2" borderId="3" xfId="0" applyFont="1" applyFill="1" applyBorder="1"/>
    <xf numFmtId="0" fontId="3" fillId="10" borderId="3" xfId="0" applyFont="1" applyFill="1" applyBorder="1"/>
    <xf numFmtId="3" fontId="3" fillId="0" borderId="2" xfId="0" applyNumberFormat="1" applyFont="1" applyBorder="1" applyAlignment="1" applyProtection="1">
      <alignment horizontal="right"/>
      <protection locked="0"/>
    </xf>
    <xf numFmtId="0" fontId="2" fillId="5" borderId="4" xfId="0" applyFont="1" applyFill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2" fillId="5" borderId="3" xfId="0" applyFont="1" applyFill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3" fillId="0" borderId="3" xfId="0" applyFont="1" applyBorder="1" applyProtection="1">
      <protection locked="0"/>
    </xf>
    <xf numFmtId="0" fontId="3" fillId="5" borderId="3" xfId="0" applyFont="1" applyFill="1" applyBorder="1"/>
    <xf numFmtId="0" fontId="3" fillId="2" borderId="3" xfId="0" applyFont="1" applyFill="1" applyBorder="1" applyProtection="1">
      <protection locked="0"/>
    </xf>
    <xf numFmtId="0" fontId="3" fillId="6" borderId="3" xfId="0" applyFont="1" applyFill="1" applyBorder="1"/>
    <xf numFmtId="0" fontId="2" fillId="5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3" fillId="0" borderId="6" xfId="0" applyFont="1" applyBorder="1"/>
    <xf numFmtId="0" fontId="3" fillId="9" borderId="6" xfId="0" applyFont="1" applyFill="1" applyBorder="1"/>
    <xf numFmtId="0" fontId="3" fillId="10" borderId="6" xfId="0" applyFont="1" applyFill="1" applyBorder="1"/>
    <xf numFmtId="0" fontId="3" fillId="2" borderId="6" xfId="0" applyFont="1" applyFill="1" applyBorder="1"/>
    <xf numFmtId="0" fontId="3" fillId="6" borderId="6" xfId="0" applyFont="1" applyFill="1" applyBorder="1"/>
    <xf numFmtId="0" fontId="2" fillId="5" borderId="5" xfId="0" applyFont="1" applyFill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5" xfId="0" applyFont="1" applyBorder="1" applyProtection="1">
      <protection locked="0"/>
    </xf>
    <xf numFmtId="0" fontId="3" fillId="0" borderId="5" xfId="0" applyFont="1" applyBorder="1"/>
    <xf numFmtId="0" fontId="3" fillId="2" borderId="5" xfId="0" applyFont="1" applyFill="1" applyBorder="1"/>
    <xf numFmtId="0" fontId="3" fillId="10" borderId="5" xfId="0" applyFont="1" applyFill="1" applyBorder="1"/>
    <xf numFmtId="0" fontId="3" fillId="6" borderId="5" xfId="0" applyFont="1" applyFill="1" applyBorder="1"/>
    <xf numFmtId="0" fontId="3" fillId="0" borderId="7" xfId="0" applyFont="1" applyBorder="1" applyProtection="1">
      <protection locked="0"/>
    </xf>
    <xf numFmtId="0" fontId="3" fillId="5" borderId="5" xfId="0" applyFont="1" applyFill="1" applyBorder="1"/>
    <xf numFmtId="0" fontId="3" fillId="0" borderId="8" xfId="0" applyFont="1" applyBorder="1" applyProtection="1">
      <protection locked="0"/>
    </xf>
    <xf numFmtId="0" fontId="3" fillId="11" borderId="5" xfId="0" applyFont="1" applyFill="1" applyBorder="1"/>
    <xf numFmtId="0" fontId="2" fillId="5" borderId="9" xfId="0" applyFont="1" applyFill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9" xfId="0" applyFont="1" applyBorder="1" applyAlignment="1" applyProtection="1">
      <alignment horizontal="left"/>
      <protection locked="0"/>
    </xf>
    <xf numFmtId="0" fontId="3" fillId="0" borderId="9" xfId="0" applyFont="1" applyBorder="1" applyProtection="1">
      <protection locked="0"/>
    </xf>
    <xf numFmtId="0" fontId="3" fillId="0" borderId="9" xfId="0" applyFont="1" applyBorder="1"/>
    <xf numFmtId="0" fontId="3" fillId="2" borderId="9" xfId="0" applyFont="1" applyFill="1" applyBorder="1"/>
    <xf numFmtId="0" fontId="3" fillId="10" borderId="9" xfId="0" applyFont="1" applyFill="1" applyBorder="1"/>
    <xf numFmtId="0" fontId="3" fillId="0" borderId="10" xfId="0" applyFont="1" applyBorder="1"/>
    <xf numFmtId="0" fontId="0" fillId="0" borderId="10" xfId="0" applyBorder="1" applyAlignment="1" applyProtection="1">
      <alignment horizontal="left"/>
      <protection locked="0"/>
    </xf>
    <xf numFmtId="0" fontId="2" fillId="5" borderId="8" xfId="0" applyFont="1" applyFill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3" fillId="5" borderId="8" xfId="0" applyFont="1" applyFill="1" applyBorder="1" applyProtection="1">
      <protection locked="0"/>
    </xf>
    <xf numFmtId="0" fontId="3" fillId="0" borderId="11" xfId="0" applyFont="1" applyBorder="1" applyAlignment="1" applyProtection="1">
      <alignment horizontal="left"/>
      <protection locked="0"/>
    </xf>
    <xf numFmtId="0" fontId="3" fillId="0" borderId="8" xfId="0" applyFont="1" applyBorder="1"/>
    <xf numFmtId="0" fontId="3" fillId="0" borderId="8" xfId="0" applyFont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5" borderId="0" xfId="0" applyFont="1" applyFill="1" applyProtection="1"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3" fillId="0" borderId="12" xfId="0" applyFont="1" applyBorder="1" applyProtection="1">
      <protection locked="0"/>
    </xf>
    <xf numFmtId="0" fontId="0" fillId="0" borderId="12" xfId="0" applyBorder="1" applyProtection="1">
      <protection locked="0"/>
    </xf>
    <xf numFmtId="0" fontId="3" fillId="5" borderId="12" xfId="0" applyFont="1" applyFill="1" applyBorder="1" applyProtection="1">
      <protection locked="0"/>
    </xf>
    <xf numFmtId="0" fontId="14" fillId="0" borderId="0" xfId="0" applyFont="1"/>
    <xf numFmtId="0" fontId="0" fillId="0" borderId="0" xfId="0" applyAlignment="1">
      <alignment horizontal="left" vertical="center"/>
    </xf>
    <xf numFmtId="0" fontId="2" fillId="0" borderId="0" xfId="0" applyFont="1"/>
    <xf numFmtId="0" fontId="14" fillId="0" borderId="13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 applyAlignment="1">
      <alignment horizontal="left" vertical="center"/>
    </xf>
    <xf numFmtId="0" fontId="15" fillId="0" borderId="0" xfId="0" applyFont="1"/>
    <xf numFmtId="0" fontId="16" fillId="0" borderId="0" xfId="0" applyFont="1"/>
    <xf numFmtId="0" fontId="15" fillId="0" borderId="16" xfId="0" applyFont="1" applyBorder="1" applyAlignment="1">
      <alignment vertical="center" wrapText="1"/>
    </xf>
    <xf numFmtId="0" fontId="16" fillId="3" borderId="13" xfId="0" applyFont="1" applyFill="1" applyBorder="1"/>
    <xf numFmtId="0" fontId="16" fillId="0" borderId="14" xfId="0" applyFont="1" applyBorder="1"/>
    <xf numFmtId="0" fontId="0" fillId="0" borderId="15" xfId="0" applyBorder="1" applyAlignment="1">
      <alignment horizontal="left" vertical="center"/>
    </xf>
    <xf numFmtId="0" fontId="15" fillId="0" borderId="17" xfId="0" applyFont="1" applyBorder="1" applyAlignment="1">
      <alignment vertical="center" wrapText="1"/>
    </xf>
    <xf numFmtId="0" fontId="16" fillId="10" borderId="13" xfId="0" applyFont="1" applyFill="1" applyBorder="1"/>
    <xf numFmtId="0" fontId="0" fillId="0" borderId="18" xfId="0" applyBorder="1" applyAlignment="1">
      <alignment horizontal="left" vertical="center"/>
    </xf>
    <xf numFmtId="0" fontId="16" fillId="12" borderId="13" xfId="0" applyFont="1" applyFill="1" applyBorder="1"/>
    <xf numFmtId="0" fontId="0" fillId="0" borderId="19" xfId="0" applyBorder="1" applyAlignment="1">
      <alignment vertical="center"/>
    </xf>
    <xf numFmtId="0" fontId="15" fillId="0" borderId="20" xfId="0" applyFont="1" applyBorder="1" applyAlignment="1">
      <alignment vertical="center" wrapText="1"/>
    </xf>
    <xf numFmtId="0" fontId="16" fillId="0" borderId="13" xfId="0" applyFont="1" applyBorder="1"/>
    <xf numFmtId="0" fontId="0" fillId="0" borderId="21" xfId="0" applyBorder="1" applyAlignment="1">
      <alignment vertical="center"/>
    </xf>
    <xf numFmtId="0" fontId="16" fillId="13" borderId="13" xfId="0" applyFont="1" applyFill="1" applyBorder="1"/>
    <xf numFmtId="0" fontId="0" fillId="0" borderId="21" xfId="0" applyBorder="1" applyAlignment="1">
      <alignment horizontal="left" vertical="center"/>
    </xf>
    <xf numFmtId="0" fontId="16" fillId="14" borderId="13" xfId="0" applyFont="1" applyFill="1" applyBorder="1"/>
    <xf numFmtId="0" fontId="16" fillId="0" borderId="14" xfId="0" applyFont="1" applyBorder="1" applyAlignment="1">
      <alignment vertical="center" wrapText="1"/>
    </xf>
    <xf numFmtId="0" fontId="16" fillId="10" borderId="5" xfId="0" applyFont="1" applyFill="1" applyBorder="1"/>
    <xf numFmtId="0" fontId="16" fillId="0" borderId="5" xfId="0" applyFont="1" applyBorder="1"/>
    <xf numFmtId="0" fontId="0" fillId="0" borderId="22" xfId="0" applyBorder="1" applyAlignment="1">
      <alignment horizontal="left" vertical="center"/>
    </xf>
    <xf numFmtId="0" fontId="16" fillId="0" borderId="5" xfId="0" applyFont="1" applyBorder="1" applyAlignment="1">
      <alignment vertical="center" wrapText="1"/>
    </xf>
    <xf numFmtId="0" fontId="16" fillId="15" borderId="13" xfId="0" applyFont="1" applyFill="1" applyBorder="1"/>
    <xf numFmtId="0" fontId="15" fillId="0" borderId="23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16" fillId="0" borderId="24" xfId="0" applyFont="1" applyBorder="1"/>
    <xf numFmtId="0" fontId="0" fillId="0" borderId="28" xfId="0" applyBorder="1" applyAlignment="1">
      <alignment horizontal="left" vertical="center"/>
    </xf>
    <xf numFmtId="0" fontId="0" fillId="0" borderId="30" xfId="0" applyBorder="1"/>
    <xf numFmtId="0" fontId="3" fillId="16" borderId="8" xfId="0" applyFont="1" applyFill="1" applyBorder="1" applyProtection="1">
      <protection locked="0"/>
    </xf>
    <xf numFmtId="0" fontId="3" fillId="16" borderId="8" xfId="0" applyFont="1" applyFill="1" applyBorder="1"/>
    <xf numFmtId="0" fontId="2" fillId="17" borderId="3" xfId="0" applyFont="1" applyFill="1" applyBorder="1" applyAlignment="1" applyProtection="1">
      <alignment horizontal="center"/>
      <protection locked="0"/>
    </xf>
    <xf numFmtId="0" fontId="3" fillId="16" borderId="3" xfId="0" applyFont="1" applyFill="1" applyBorder="1"/>
    <xf numFmtId="0" fontId="3" fillId="16" borderId="2" xfId="0" applyFont="1" applyFill="1" applyBorder="1" applyProtection="1">
      <protection locked="0"/>
    </xf>
    <xf numFmtId="0" fontId="3" fillId="18" borderId="0" xfId="0" applyFont="1" applyFill="1" applyAlignment="1" applyProtection="1">
      <alignment horizontal="left"/>
      <protection locked="0"/>
    </xf>
    <xf numFmtId="0" fontId="3" fillId="19" borderId="3" xfId="0" applyFont="1" applyFill="1" applyBorder="1"/>
    <xf numFmtId="0" fontId="3" fillId="19" borderId="0" xfId="0" applyFont="1" applyFill="1" applyProtection="1">
      <protection locked="0"/>
    </xf>
    <xf numFmtId="0" fontId="3" fillId="19" borderId="0" xfId="0" applyFont="1" applyFill="1" applyAlignment="1" applyProtection="1">
      <alignment wrapText="1"/>
      <protection locked="0"/>
    </xf>
    <xf numFmtId="0" fontId="3" fillId="19" borderId="5" xfId="0" applyFont="1" applyFill="1" applyBorder="1"/>
    <xf numFmtId="0" fontId="3" fillId="16" borderId="5" xfId="0" applyFont="1" applyFill="1" applyBorder="1"/>
    <xf numFmtId="0" fontId="3" fillId="19" borderId="8" xfId="0" applyFont="1" applyFill="1" applyBorder="1" applyProtection="1">
      <protection locked="0"/>
    </xf>
    <xf numFmtId="0" fontId="3" fillId="19" borderId="4" xfId="0" applyFont="1" applyFill="1" applyBorder="1" applyProtection="1">
      <protection locked="0"/>
    </xf>
    <xf numFmtId="0" fontId="3" fillId="19" borderId="2" xfId="0" applyFont="1" applyFill="1" applyBorder="1" applyProtection="1">
      <protection locked="0"/>
    </xf>
    <xf numFmtId="0" fontId="3" fillId="19" borderId="6" xfId="0" applyFont="1" applyFill="1" applyBorder="1"/>
    <xf numFmtId="0" fontId="2" fillId="17" borderId="2" xfId="0" applyFont="1" applyFill="1" applyBorder="1" applyAlignment="1" applyProtection="1">
      <alignment horizontal="center"/>
      <protection locked="0"/>
    </xf>
    <xf numFmtId="0" fontId="3" fillId="19" borderId="2" xfId="0" applyFont="1" applyFill="1" applyBorder="1"/>
    <xf numFmtId="0" fontId="3" fillId="0" borderId="0" xfId="0" applyFont="1" applyAlignment="1" applyProtection="1">
      <alignment wrapText="1"/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6" xfId="0" applyFont="1" applyBorder="1" applyAlignment="1" applyProtection="1">
      <alignment horizontal="right"/>
      <protection locked="0"/>
    </xf>
    <xf numFmtId="0" fontId="3" fillId="0" borderId="9" xfId="0" applyFont="1" applyBorder="1" applyAlignment="1" applyProtection="1">
      <alignment horizontal="right"/>
      <protection locked="0"/>
    </xf>
    <xf numFmtId="0" fontId="22" fillId="0" borderId="5" xfId="0" applyFont="1" applyBorder="1" applyAlignment="1" applyProtection="1">
      <alignment horizontal="left"/>
      <protection locked="0"/>
    </xf>
    <xf numFmtId="0" fontId="2" fillId="16" borderId="8" xfId="0" applyFont="1" applyFill="1" applyBorder="1" applyAlignment="1" applyProtection="1">
      <alignment horizontal="center"/>
      <protection locked="0"/>
    </xf>
    <xf numFmtId="0" fontId="2" fillId="16" borderId="2" xfId="0" applyFont="1" applyFill="1" applyBorder="1" applyAlignment="1" applyProtection="1">
      <alignment horizontal="center"/>
      <protection locked="0"/>
    </xf>
    <xf numFmtId="0" fontId="23" fillId="0" borderId="9" xfId="1" applyBorder="1" applyAlignment="1" applyProtection="1">
      <alignment horizontal="left"/>
      <protection locked="0"/>
    </xf>
    <xf numFmtId="0" fontId="3" fillId="16" borderId="0" xfId="0" applyFont="1" applyFill="1" applyProtection="1">
      <protection locked="0"/>
    </xf>
    <xf numFmtId="0" fontId="2" fillId="16" borderId="0" xfId="0" applyFont="1" applyFill="1" applyAlignment="1" applyProtection="1">
      <alignment horizontal="center"/>
      <protection locked="0"/>
    </xf>
    <xf numFmtId="0" fontId="24" fillId="0" borderId="0" xfId="0" applyFont="1"/>
    <xf numFmtId="0" fontId="0" fillId="20" borderId="0" xfId="0" applyFill="1"/>
    <xf numFmtId="0" fontId="24" fillId="20" borderId="0" xfId="0" applyFont="1" applyFill="1"/>
    <xf numFmtId="0" fontId="3" fillId="21" borderId="4" xfId="0" applyFont="1" applyFill="1" applyBorder="1" applyProtection="1">
      <protection locked="0"/>
    </xf>
    <xf numFmtId="0" fontId="2" fillId="22" borderId="2" xfId="0" applyFont="1" applyFill="1" applyBorder="1" applyAlignment="1" applyProtection="1">
      <alignment horizontal="center"/>
      <protection locked="0"/>
    </xf>
    <xf numFmtId="0" fontId="2" fillId="23" borderId="5" xfId="0" applyFont="1" applyFill="1" applyBorder="1" applyAlignment="1" applyProtection="1">
      <alignment horizontal="center"/>
      <protection locked="0"/>
    </xf>
    <xf numFmtId="0" fontId="3" fillId="0" borderId="0" xfId="0" applyFont="1"/>
    <xf numFmtId="14" fontId="3" fillId="0" borderId="0" xfId="0" applyNumberFormat="1" applyFont="1" applyProtection="1">
      <protection locked="0"/>
    </xf>
    <xf numFmtId="0" fontId="16" fillId="0" borderId="27" xfId="0" applyFont="1" applyBorder="1" applyAlignment="1">
      <alignment horizontal="left"/>
    </xf>
    <xf numFmtId="0" fontId="16" fillId="0" borderId="24" xfId="0" applyFont="1" applyBorder="1" applyAlignment="1">
      <alignment vertical="center" wrapText="1"/>
    </xf>
    <xf numFmtId="0" fontId="0" fillId="0" borderId="29" xfId="0" applyBorder="1" applyAlignment="1">
      <alignment horizontal="left" vertical="center"/>
    </xf>
    <xf numFmtId="0" fontId="15" fillId="0" borderId="13" xfId="0" applyFont="1" applyBorder="1" applyAlignment="1">
      <alignment vertical="center"/>
    </xf>
    <xf numFmtId="0" fontId="16" fillId="0" borderId="13" xfId="0" applyFont="1" applyBorder="1" applyAlignment="1">
      <alignment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6" fillId="0" borderId="15" xfId="0" applyFont="1" applyBorder="1" applyAlignment="1">
      <alignment horizontal="left"/>
    </xf>
    <xf numFmtId="0" fontId="15" fillId="0" borderId="13" xfId="0" applyFont="1" applyBorder="1" applyAlignment="1">
      <alignment vertical="center" wrapText="1"/>
    </xf>
    <xf numFmtId="0" fontId="0" fillId="0" borderId="19" xfId="0" applyBorder="1" applyAlignment="1">
      <alignment horizontal="left" vertical="center"/>
    </xf>
    <xf numFmtId="167" fontId="25" fillId="24" borderId="0" xfId="0" applyNumberFormat="1" applyFont="1" applyFill="1" applyProtection="1">
      <protection locked="0"/>
    </xf>
    <xf numFmtId="167" fontId="3" fillId="0" borderId="0" xfId="0" applyNumberFormat="1" applyFont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E00"/>
      <rgbColor rgb="FF141312"/>
      <rgbColor rgb="FF808000"/>
      <rgbColor rgb="FF800080"/>
      <rgbColor rgb="FF1FB714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CF30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70AD47"/>
      <rgbColor rgb="FF1F1C1B"/>
      <rgbColor rgb="FF00B050"/>
      <rgbColor rgb="FF003300"/>
      <rgbColor rgb="FF3C3C3C"/>
      <rgbColor rgb="FF993300"/>
      <rgbColor rgb="FF993366"/>
      <rgbColor rgb="FF333399"/>
      <rgbColor rgb="FF3136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304680</xdr:colOff>
      <xdr:row>41</xdr:row>
      <xdr:rowOff>121560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7834320" cy="7617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66" name="shapetype_202" hidden="1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64" name="shapetype_202" hidden="1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62" name="shapetype_202" hidden="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60" name="shapetype_202" hidden="1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58" name="shapetype_202" hidden="1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56" name="shapetype_202" hidden="1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54" name="shapetype_202" hidden="1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52" name="shapetype_202" hidden="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50" name="shapetype_202" hidden="1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48" name="shapetype_202" hidden="1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46" name="shapetype_202" hidden="1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44" name="shapetype_202" hidden="1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42" name="shapetype_202" hidden="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40" name="shapetype_202" hidden="1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38" name="shapetype_202" hidden="1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36" name="shapetype_202" hidden="1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34" name="shapetype_202" hidden="1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32" name="shapetype_202" hidden="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30" name="shapetype_202" hidden="1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28" name="shapetype_202" hidden="1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26" name="shapetype_202" hidden="1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24" name="shapetype_202" hidden="1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22" name="shapetype_202" hidden="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20" name="shapetype_202" hidden="1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18" name="shapetype_202" hidden="1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16" name="shapetype_202" hidden="1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14" name="shapetype_202" hidden="1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12" name="shapetype_202" hidden="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10" name="shapetype_202" hidden="1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08" name="shapetype_202" hidden="1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06" name="shapetype_202" hidden="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04" name="shapetype_202" hidden="1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02" name="shapetype_202" hidden="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100" name="shapetype_202" hidden="1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98" name="shapetype_202" hidden="1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96" name="shapetype_202" hidden="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94" name="shapetype_202" hidden="1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92" name="shapetype_202" hidden="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90" name="shapetype_202" hidden="1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88" name="shapetype_202" hidden="1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86" name="shapetype_202" hidden="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84" name="shapetype_202" hidden="1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82" name="shapetype_202" hidden="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80" name="shapetype_202" hidden="1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78" name="shapetype_202" hidden="1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76" name="shapetype_202" hidden="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74" name="shapetype_202" hidden="1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72" name="shapetype_202" hidden="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70" name="shapetype_202" hidden="1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68" name="shapetype_202" hidden="1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66" name="shapetype_202" hidden="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64" name="shapetype_202" hidden="1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62" name="shapetype_202" hidden="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60" name="shapetype_202" hidden="1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58" name="shapetype_202" hidden="1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56" name="shapetype_202" hidden="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54" name="shapetype_202" hidden="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52" name="shapetype_202" hidden="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45</xdr:row>
      <xdr:rowOff>91440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n Beutel" id="{38607905-57DE-4C64-8EDE-B5DB33783CB0}" userId="Jan Beutel" providerId="None"/>
  <person displayName="Jan Beutel" id="{D7DADCB5-E05D-4366-9360-3030A65126CC}" userId="S::Jan.Beutel@uibk.ac.at::cc4189f9-f386-42cd-9eb7-3d5ab5e8ed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8" dT="2022-07-09T15:39:42.45" personId="{38607905-57DE-4C64-8EDE-B5DB33783CB0}" id="{B43DF845-C57D-412C-84BD-500B4DC174A6}">
    <text>reset</text>
  </threadedComment>
  <threadedComment ref="AC21" dT="2022-07-09T15:24:43.17" personId="{38607905-57DE-4C64-8EDE-B5DB33783CB0}" id="{0327C99B-BD95-4261-BF3A-00535D60455B}">
    <text>new battery</text>
  </threadedComment>
  <threadedComment ref="AC27" dT="2022-07-09T15:39:22.98" personId="{38607905-57DE-4C64-8EDE-B5DB33783CB0}" id="{83F3DD50-C473-4DED-88F9-CAA60A57DFD6}">
    <text>reset</text>
  </threadedComment>
  <threadedComment ref="AC28" dT="2022-07-09T15:39:31.99" personId="{38607905-57DE-4C64-8EDE-B5DB33783CB0}" id="{4B22CDCF-29A3-4B67-B1BD-7FE9643287C2}">
    <text>reset</text>
  </threadedComment>
  <threadedComment ref="X32" dT="2024-05-12T09:39:39.67" personId="{D7DADCB5-E05D-4366-9360-3030A65126CC}" id="{A2571505-1076-4C76-BA6D-6B932204C7D3}">
    <text>Lightning rod fix, temporary</text>
  </threadedComment>
  <threadedComment ref="AC32" dT="2022-07-09T15:39:58.83" personId="{38607905-57DE-4C64-8EDE-B5DB33783CB0}" id="{AF231BF3-028F-493A-BFA0-798DED4699A7}">
    <text>new vaisala sensor</text>
  </threadedComment>
  <threadedComment ref="X33" dT="2024-05-12T09:39:18.24" personId="{D7DADCB5-E05D-4366-9360-3030A65126CC}" id="{E3217E73-017B-41CB-8FC5-30B3A5FA1543}">
    <text>New battery</text>
  </threadedComment>
  <threadedComment ref="U37" dT="2024-08-01T08:28:06.13" personId="{D7DADCB5-E05D-4366-9360-3030A65126CC}" id="{058E3E39-A23E-404D-A27E-D3559182AE39}">
    <text>New battery</text>
  </threadedComment>
  <threadedComment ref="X37" dT="2024-05-12T09:39:02.58" personId="{D7DADCB5-E05D-4366-9360-3030A65126CC}" id="{5A9B8EBC-E449-477B-B1F7-6C1037BE6B6E}">
    <text>New battery</text>
  </threadedComment>
  <threadedComment ref="X42" dT="2024-05-12T09:38:47.58" personId="{D7DADCB5-E05D-4366-9360-3030A65126CC}" id="{720C36BE-9ED3-4CDA-A818-33125F7995D3}">
    <text xml:space="preserve">Wireless was not stable
</text>
  </threadedComment>
  <threadedComment ref="AC51" dT="2022-07-09T15:40:29.69" personId="{38607905-57DE-4C64-8EDE-B5DB33783CB0}" id="{8F349546-491E-41EB-9027-F5705271D839}">
    <text>centaur broken</text>
  </threadedComment>
  <threadedComment ref="AG53" dT="2024-08-21T09:50:00.23" personId="{D7DADCB5-E05D-4366-9360-3030A65126CC}" id="{A8A84A9F-0EF1-4FF4-A437-FC0E176302E3}">
    <text xml:space="preserve">6T SR change
</text>
  </threadedComment>
  <threadedComment ref="AG54" dT="2024-08-21T09:50:11.23" personId="{D7DADCB5-E05D-4366-9360-3030A65126CC}" id="{83CC641D-E4E3-4046-BB83-E66EF285BD8B}">
    <text>6T SR change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oernlihuette.mhgroup.ch/file.jpg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D106"/>
  <sheetViews>
    <sheetView tabSelected="1" zoomScaleNormal="100" workbookViewId="0">
      <selection activeCell="J2" sqref="J2"/>
    </sheetView>
  </sheetViews>
  <sheetFormatPr defaultRowHeight="13.2" x14ac:dyDescent="0.25"/>
  <cols>
    <col min="1" max="1" width="10.33203125" style="1" customWidth="1"/>
    <col min="2" max="2" width="9.33203125" style="1" customWidth="1"/>
    <col min="3" max="3" width="41.33203125" style="2" customWidth="1"/>
    <col min="4" max="4" width="45.88671875" style="2" customWidth="1"/>
    <col min="5" max="5" width="26.33203125" style="3" customWidth="1"/>
    <col min="6" max="6" width="24.109375" style="3" customWidth="1"/>
    <col min="7" max="7" width="30" style="2" customWidth="1"/>
    <col min="8" max="8" width="20" style="2" customWidth="1"/>
    <col min="9" max="9" width="23.88671875" style="2" customWidth="1"/>
    <col min="10" max="10" width="12.5546875" style="2" customWidth="1"/>
    <col min="11" max="11" width="21.5546875" style="2" customWidth="1"/>
    <col min="12" max="13" width="3" style="2" customWidth="1"/>
    <col min="14" max="16" width="10.44140625" style="2" customWidth="1"/>
    <col min="17" max="86" width="14.88671875" style="2" customWidth="1"/>
    <col min="87" max="100" width="11.44140625" customWidth="1"/>
    <col min="101" max="1044" width="11.44140625" style="2" customWidth="1"/>
  </cols>
  <sheetData>
    <row r="1" spans="1:86" x14ac:dyDescent="0.25">
      <c r="A1" s="4" t="s">
        <v>0</v>
      </c>
      <c r="B1" s="4"/>
    </row>
    <row r="2" spans="1:86" ht="63.6" x14ac:dyDescent="0.25">
      <c r="C2" s="139" t="s">
        <v>2</v>
      </c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42" t="s">
        <v>269</v>
      </c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81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  <c r="BU2" s="169"/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</row>
    <row r="3" spans="1:86" x14ac:dyDescent="0.25">
      <c r="E3" s="3" t="s">
        <v>268</v>
      </c>
      <c r="P3" s="5" t="s">
        <v>3</v>
      </c>
      <c r="Q3" s="180">
        <v>45881</v>
      </c>
      <c r="R3" s="180">
        <v>45880</v>
      </c>
      <c r="S3" s="180">
        <v>45820</v>
      </c>
      <c r="T3" s="180">
        <v>45504</v>
      </c>
      <c r="U3" s="180">
        <v>45503</v>
      </c>
      <c r="V3" s="180">
        <v>45502</v>
      </c>
      <c r="W3" s="180">
        <v>45501</v>
      </c>
      <c r="X3" s="180">
        <v>45159</v>
      </c>
      <c r="Y3" s="180">
        <v>45155</v>
      </c>
      <c r="Z3" s="180">
        <v>44752</v>
      </c>
      <c r="AA3" s="180">
        <v>44760</v>
      </c>
      <c r="AB3" s="180">
        <v>44758</v>
      </c>
      <c r="AC3" s="180">
        <v>44430</v>
      </c>
      <c r="AD3" s="180">
        <v>44020</v>
      </c>
      <c r="AE3" s="180">
        <v>44001</v>
      </c>
      <c r="AF3" s="180">
        <v>43809</v>
      </c>
      <c r="AG3" s="180">
        <v>43704</v>
      </c>
      <c r="AH3" s="180">
        <v>43664</v>
      </c>
      <c r="AI3" s="180">
        <v>43657</v>
      </c>
      <c r="AJ3" s="180">
        <v>43654</v>
      </c>
      <c r="AK3" s="180">
        <v>43642</v>
      </c>
      <c r="AL3" s="180">
        <v>43544</v>
      </c>
      <c r="AM3" s="180">
        <v>43358</v>
      </c>
      <c r="AN3" s="180">
        <v>43342</v>
      </c>
      <c r="AO3" s="180">
        <v>43332</v>
      </c>
      <c r="AP3" s="180">
        <v>43327</v>
      </c>
      <c r="AQ3" s="180">
        <v>42999</v>
      </c>
      <c r="AR3" s="180">
        <v>42934</v>
      </c>
      <c r="AS3" s="180">
        <v>42705</v>
      </c>
      <c r="AT3" s="180">
        <v>42579</v>
      </c>
      <c r="AU3" s="180">
        <v>42561</v>
      </c>
      <c r="AV3" s="180">
        <v>42390</v>
      </c>
      <c r="AW3" s="180">
        <v>42285</v>
      </c>
      <c r="AX3" s="180">
        <v>42194</v>
      </c>
      <c r="AY3" s="180">
        <v>42180</v>
      </c>
      <c r="AZ3" s="180">
        <v>42179</v>
      </c>
      <c r="BA3" s="180">
        <v>42158</v>
      </c>
      <c r="BB3" s="180">
        <v>42157</v>
      </c>
      <c r="BC3" s="180">
        <v>42153</v>
      </c>
      <c r="BD3" s="180">
        <v>42152</v>
      </c>
      <c r="BE3" s="180">
        <v>42102</v>
      </c>
      <c r="BF3" s="180">
        <v>42012</v>
      </c>
      <c r="BG3" s="180">
        <v>41885</v>
      </c>
      <c r="BH3" s="180">
        <v>41867</v>
      </c>
      <c r="BI3" s="180">
        <v>41865</v>
      </c>
      <c r="BJ3" s="180">
        <v>41843</v>
      </c>
      <c r="BK3" s="180">
        <v>41801</v>
      </c>
      <c r="BL3" s="180">
        <v>41492</v>
      </c>
      <c r="BM3" s="180">
        <v>41283</v>
      </c>
      <c r="BN3" s="180">
        <v>41140</v>
      </c>
      <c r="BO3" s="180">
        <v>41131</v>
      </c>
      <c r="BP3" s="180">
        <v>41109</v>
      </c>
      <c r="BQ3" s="180">
        <v>41075</v>
      </c>
      <c r="BR3" s="180">
        <v>40842</v>
      </c>
      <c r="BS3" s="180">
        <v>40774</v>
      </c>
      <c r="BT3" s="180">
        <v>40754</v>
      </c>
      <c r="BU3" s="180">
        <v>40689</v>
      </c>
      <c r="BV3" s="180">
        <v>40576</v>
      </c>
      <c r="BW3" s="180">
        <v>40528</v>
      </c>
      <c r="BX3" s="180">
        <v>40422</v>
      </c>
      <c r="BY3" s="180">
        <v>40386</v>
      </c>
      <c r="BZ3" s="180">
        <v>40351</v>
      </c>
      <c r="CA3" s="180">
        <v>40057</v>
      </c>
      <c r="CB3" s="180">
        <v>40046</v>
      </c>
      <c r="CC3" s="180">
        <v>39891</v>
      </c>
      <c r="CD3" s="180">
        <v>39771</v>
      </c>
      <c r="CE3" s="180">
        <v>39687</v>
      </c>
      <c r="CF3" s="180">
        <v>39653</v>
      </c>
      <c r="CG3" s="180">
        <v>39576</v>
      </c>
      <c r="CH3" s="180">
        <v>39435</v>
      </c>
    </row>
    <row r="4" spans="1:86" x14ac:dyDescent="0.25">
      <c r="P4" s="5" t="s">
        <v>4</v>
      </c>
      <c r="Q4" s="6">
        <f>COUNTA(Q8:Q97)</f>
        <v>0</v>
      </c>
      <c r="R4" s="6">
        <f>COUNTA(R8:R97)</f>
        <v>6</v>
      </c>
      <c r="S4" s="6">
        <f>COUNTA(S8:S97)</f>
        <v>52</v>
      </c>
      <c r="T4" s="6">
        <f t="shared" ref="T4:AI4" si="0">COUNTA(T7:T97)</f>
        <v>52</v>
      </c>
      <c r="U4" s="6">
        <f t="shared" si="0"/>
        <v>51</v>
      </c>
      <c r="V4" s="6">
        <f t="shared" si="0"/>
        <v>52</v>
      </c>
      <c r="W4" s="6">
        <f t="shared" si="0"/>
        <v>56</v>
      </c>
      <c r="X4" s="6">
        <f t="shared" si="0"/>
        <v>56</v>
      </c>
      <c r="Y4" s="6">
        <f t="shared" si="0"/>
        <v>56</v>
      </c>
      <c r="Z4" s="6">
        <f t="shared" si="0"/>
        <v>56</v>
      </c>
      <c r="AA4" s="6">
        <f t="shared" si="0"/>
        <v>53</v>
      </c>
      <c r="AB4" s="6">
        <f t="shared" si="0"/>
        <v>44</v>
      </c>
      <c r="AC4" s="6">
        <f t="shared" si="0"/>
        <v>44</v>
      </c>
      <c r="AD4" s="6">
        <f t="shared" si="0"/>
        <v>56</v>
      </c>
      <c r="AE4" s="6">
        <f t="shared" si="0"/>
        <v>56</v>
      </c>
      <c r="AF4" s="6">
        <f t="shared" si="0"/>
        <v>58</v>
      </c>
      <c r="AG4" s="6">
        <f t="shared" si="0"/>
        <v>58</v>
      </c>
      <c r="AH4" s="6">
        <f t="shared" si="0"/>
        <v>57</v>
      </c>
      <c r="AI4" s="6">
        <f t="shared" si="0"/>
        <v>57</v>
      </c>
      <c r="AJ4" s="6">
        <f t="shared" ref="AJ4:AP4" si="1">COUNTA(AJ7:AJ97)</f>
        <v>55</v>
      </c>
      <c r="AK4" s="6">
        <f t="shared" si="1"/>
        <v>55</v>
      </c>
      <c r="AL4" s="6">
        <f t="shared" si="1"/>
        <v>53</v>
      </c>
      <c r="AM4" s="6">
        <f t="shared" si="1"/>
        <v>53</v>
      </c>
      <c r="AN4" s="6">
        <f t="shared" si="1"/>
        <v>53</v>
      </c>
      <c r="AO4" s="6">
        <f t="shared" si="1"/>
        <v>50</v>
      </c>
      <c r="AP4" s="6">
        <f t="shared" si="1"/>
        <v>51</v>
      </c>
      <c r="AQ4" s="6">
        <f t="shared" ref="AQ4:AX4" si="2">COUNTA(AQ7:AQ48)</f>
        <v>38</v>
      </c>
      <c r="AR4" s="6">
        <f t="shared" si="2"/>
        <v>38</v>
      </c>
      <c r="AS4" s="6">
        <f t="shared" si="2"/>
        <v>39</v>
      </c>
      <c r="AT4" s="6">
        <f t="shared" si="2"/>
        <v>39</v>
      </c>
      <c r="AU4" s="6">
        <f t="shared" si="2"/>
        <v>38</v>
      </c>
      <c r="AV4" s="6">
        <f t="shared" si="2"/>
        <v>38</v>
      </c>
      <c r="AW4" s="6">
        <f t="shared" si="2"/>
        <v>38</v>
      </c>
      <c r="AX4" s="6">
        <f t="shared" si="2"/>
        <v>37</v>
      </c>
      <c r="AY4" s="6">
        <f t="shared" ref="AY4:CH4" si="3">COUNT(AY7:AY47)</f>
        <v>34</v>
      </c>
      <c r="AZ4" s="6">
        <f t="shared" si="3"/>
        <v>33</v>
      </c>
      <c r="BA4" s="6">
        <f t="shared" si="3"/>
        <v>34</v>
      </c>
      <c r="BB4" s="6">
        <f t="shared" si="3"/>
        <v>34</v>
      </c>
      <c r="BC4" s="6">
        <f t="shared" si="3"/>
        <v>30</v>
      </c>
      <c r="BD4" s="6">
        <f t="shared" si="3"/>
        <v>31</v>
      </c>
      <c r="BE4" s="6">
        <f t="shared" si="3"/>
        <v>31</v>
      </c>
      <c r="BF4" s="6">
        <f t="shared" si="3"/>
        <v>28</v>
      </c>
      <c r="BG4" s="6">
        <f t="shared" si="3"/>
        <v>29</v>
      </c>
      <c r="BH4" s="6">
        <f t="shared" si="3"/>
        <v>29</v>
      </c>
      <c r="BI4" s="6">
        <f t="shared" si="3"/>
        <v>25</v>
      </c>
      <c r="BJ4" s="6">
        <f t="shared" si="3"/>
        <v>25</v>
      </c>
      <c r="BK4" s="6">
        <f t="shared" si="3"/>
        <v>25</v>
      </c>
      <c r="BL4" s="6">
        <f t="shared" si="3"/>
        <v>25</v>
      </c>
      <c r="BM4" s="6">
        <f t="shared" si="3"/>
        <v>26</v>
      </c>
      <c r="BN4" s="6">
        <f t="shared" si="3"/>
        <v>27</v>
      </c>
      <c r="BO4" s="6">
        <f t="shared" si="3"/>
        <v>25</v>
      </c>
      <c r="BP4" s="6">
        <f t="shared" si="3"/>
        <v>24</v>
      </c>
      <c r="BQ4" s="6">
        <f t="shared" si="3"/>
        <v>25</v>
      </c>
      <c r="BR4" s="6">
        <f t="shared" si="3"/>
        <v>23</v>
      </c>
      <c r="BS4" s="6">
        <f t="shared" si="3"/>
        <v>24</v>
      </c>
      <c r="BT4" s="6">
        <f t="shared" si="3"/>
        <v>25</v>
      </c>
      <c r="BU4" s="6">
        <f t="shared" si="3"/>
        <v>26</v>
      </c>
      <c r="BV4" s="6">
        <f t="shared" si="3"/>
        <v>25</v>
      </c>
      <c r="BW4" s="6">
        <f t="shared" si="3"/>
        <v>25</v>
      </c>
      <c r="BX4" s="6">
        <f t="shared" si="3"/>
        <v>24</v>
      </c>
      <c r="BY4" s="6">
        <f t="shared" si="3"/>
        <v>22</v>
      </c>
      <c r="BZ4" s="6">
        <f t="shared" si="3"/>
        <v>23</v>
      </c>
      <c r="CA4" s="6">
        <f t="shared" si="3"/>
        <v>19</v>
      </c>
      <c r="CB4" s="6">
        <f t="shared" si="3"/>
        <v>18</v>
      </c>
      <c r="CC4" s="6">
        <f t="shared" si="3"/>
        <v>18</v>
      </c>
      <c r="CD4" s="6">
        <f t="shared" si="3"/>
        <v>16</v>
      </c>
      <c r="CE4" s="6">
        <f t="shared" si="3"/>
        <v>16</v>
      </c>
      <c r="CF4" s="6">
        <f t="shared" si="3"/>
        <v>16</v>
      </c>
      <c r="CG4" s="6">
        <f t="shared" si="3"/>
        <v>13</v>
      </c>
      <c r="CH4" s="6">
        <f t="shared" si="3"/>
        <v>13</v>
      </c>
    </row>
    <row r="5" spans="1:86" x14ac:dyDescent="0.25">
      <c r="A5" s="7" t="s">
        <v>5</v>
      </c>
      <c r="B5" s="8" t="s">
        <v>6</v>
      </c>
      <c r="C5" s="8" t="s">
        <v>7</v>
      </c>
      <c r="D5" s="9" t="s">
        <v>8</v>
      </c>
      <c r="E5" s="8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10"/>
      <c r="K5" s="10"/>
      <c r="L5" s="11"/>
      <c r="M5" s="11"/>
      <c r="N5" s="10" t="s">
        <v>14</v>
      </c>
      <c r="O5" s="10"/>
      <c r="P5" s="10"/>
      <c r="Q5" s="8" t="s">
        <v>15</v>
      </c>
      <c r="R5" s="10"/>
      <c r="S5" s="8" t="s">
        <v>15</v>
      </c>
      <c r="T5" s="8" t="s">
        <v>15</v>
      </c>
      <c r="U5" s="8" t="s">
        <v>15</v>
      </c>
      <c r="V5" s="8" t="s">
        <v>15</v>
      </c>
      <c r="W5" s="8" t="s">
        <v>15</v>
      </c>
      <c r="X5" s="8" t="s">
        <v>15</v>
      </c>
      <c r="Y5" s="8" t="s">
        <v>15</v>
      </c>
      <c r="Z5" s="8" t="s">
        <v>15</v>
      </c>
      <c r="AA5" s="8" t="s">
        <v>15</v>
      </c>
      <c r="AB5" s="8" t="s">
        <v>15</v>
      </c>
      <c r="AC5" s="8" t="s">
        <v>15</v>
      </c>
      <c r="AD5" s="8" t="s">
        <v>15</v>
      </c>
      <c r="AE5" s="8" t="s">
        <v>15</v>
      </c>
      <c r="AF5" s="8" t="s">
        <v>15</v>
      </c>
      <c r="AG5" s="8" t="s">
        <v>15</v>
      </c>
      <c r="AH5" s="8" t="s">
        <v>15</v>
      </c>
      <c r="AI5" s="8" t="s">
        <v>15</v>
      </c>
      <c r="AJ5" s="8" t="s">
        <v>15</v>
      </c>
      <c r="AK5" s="8" t="s">
        <v>15</v>
      </c>
      <c r="AL5" s="8" t="s">
        <v>15</v>
      </c>
      <c r="AM5" s="8" t="s">
        <v>15</v>
      </c>
      <c r="AN5" s="8" t="s">
        <v>15</v>
      </c>
      <c r="AO5" s="8" t="s">
        <v>15</v>
      </c>
      <c r="AP5" s="8" t="s">
        <v>15</v>
      </c>
      <c r="AQ5" s="8" t="s">
        <v>15</v>
      </c>
      <c r="AR5" s="8" t="s">
        <v>15</v>
      </c>
      <c r="AS5" s="8" t="s">
        <v>15</v>
      </c>
      <c r="AT5" s="8" t="s">
        <v>15</v>
      </c>
      <c r="AU5" s="8" t="s">
        <v>15</v>
      </c>
      <c r="AV5" s="8" t="s">
        <v>15</v>
      </c>
      <c r="AW5" s="8" t="s">
        <v>15</v>
      </c>
      <c r="AX5" s="8" t="s">
        <v>15</v>
      </c>
      <c r="AY5" s="8" t="s">
        <v>15</v>
      </c>
      <c r="AZ5" s="8" t="s">
        <v>15</v>
      </c>
      <c r="BA5" s="8" t="s">
        <v>15</v>
      </c>
      <c r="BB5" s="8" t="s">
        <v>15</v>
      </c>
      <c r="BC5" s="8" t="s">
        <v>15</v>
      </c>
      <c r="BD5" s="8" t="s">
        <v>15</v>
      </c>
      <c r="BE5" s="8" t="s">
        <v>15</v>
      </c>
      <c r="BF5" s="8" t="s">
        <v>15</v>
      </c>
      <c r="BG5" s="8" t="s">
        <v>15</v>
      </c>
      <c r="BH5" s="8" t="s">
        <v>15</v>
      </c>
      <c r="BI5" s="8" t="s">
        <v>15</v>
      </c>
      <c r="BJ5" s="8" t="s">
        <v>15</v>
      </c>
      <c r="BK5" s="8" t="s">
        <v>15</v>
      </c>
      <c r="BL5" s="8" t="s">
        <v>15</v>
      </c>
      <c r="BM5" s="8" t="s">
        <v>15</v>
      </c>
      <c r="BN5" s="8" t="s">
        <v>15</v>
      </c>
      <c r="BO5" s="8" t="s">
        <v>15</v>
      </c>
      <c r="BP5" s="8" t="s">
        <v>15</v>
      </c>
      <c r="BQ5" s="8" t="s">
        <v>15</v>
      </c>
      <c r="BR5" s="8" t="s">
        <v>15</v>
      </c>
      <c r="BS5" s="8" t="s">
        <v>15</v>
      </c>
      <c r="BT5" s="8" t="s">
        <v>15</v>
      </c>
      <c r="BU5" s="8" t="s">
        <v>15</v>
      </c>
      <c r="BV5" s="8" t="s">
        <v>15</v>
      </c>
      <c r="BW5" s="8" t="s">
        <v>15</v>
      </c>
      <c r="BX5" s="8" t="s">
        <v>15</v>
      </c>
      <c r="BY5" s="8" t="s">
        <v>15</v>
      </c>
      <c r="BZ5" s="8" t="s">
        <v>15</v>
      </c>
      <c r="CA5" s="8" t="s">
        <v>15</v>
      </c>
      <c r="CB5" s="8" t="s">
        <v>15</v>
      </c>
      <c r="CC5" s="8" t="s">
        <v>15</v>
      </c>
      <c r="CD5" s="8" t="s">
        <v>15</v>
      </c>
      <c r="CE5" s="8" t="s">
        <v>15</v>
      </c>
      <c r="CF5" s="8" t="s">
        <v>15</v>
      </c>
      <c r="CG5" s="8" t="s">
        <v>15</v>
      </c>
      <c r="CH5" s="8" t="s">
        <v>15</v>
      </c>
    </row>
    <row r="6" spans="1:86" x14ac:dyDescent="0.25">
      <c r="A6" s="7"/>
      <c r="B6" s="7"/>
      <c r="C6" s="8"/>
      <c r="D6" s="8"/>
      <c r="E6" s="8"/>
      <c r="F6" s="8"/>
      <c r="G6" s="10"/>
      <c r="H6" s="10"/>
      <c r="I6" s="10" t="s">
        <v>16</v>
      </c>
      <c r="J6" s="10" t="s">
        <v>17</v>
      </c>
      <c r="K6" s="8" t="s">
        <v>18</v>
      </c>
      <c r="L6" s="8"/>
      <c r="M6" s="8"/>
      <c r="N6" s="6" t="s">
        <v>19</v>
      </c>
      <c r="O6" s="6" t="s">
        <v>20</v>
      </c>
      <c r="P6" s="6" t="s">
        <v>21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</row>
    <row r="7" spans="1:86" x14ac:dyDescent="0.25">
      <c r="A7" s="12">
        <v>0</v>
      </c>
      <c r="B7" s="12"/>
      <c r="C7" s="13" t="s">
        <v>22</v>
      </c>
      <c r="D7" s="13"/>
      <c r="E7" s="14" t="s">
        <v>23</v>
      </c>
      <c r="F7" s="13" t="s">
        <v>24</v>
      </c>
      <c r="H7" s="13"/>
      <c r="I7" s="13"/>
      <c r="J7" s="13"/>
      <c r="K7" s="13"/>
      <c r="L7" s="13"/>
      <c r="M7" s="13"/>
      <c r="N7" s="15">
        <v>618014</v>
      </c>
      <c r="O7" s="16">
        <v>92195</v>
      </c>
      <c r="P7" s="16">
        <v>3451</v>
      </c>
      <c r="R7" s="168"/>
      <c r="T7" s="2">
        <v>14</v>
      </c>
      <c r="U7" s="2">
        <v>14</v>
      </c>
      <c r="V7" s="2">
        <v>14</v>
      </c>
      <c r="W7" s="2">
        <v>14</v>
      </c>
      <c r="X7" s="2">
        <v>14</v>
      </c>
      <c r="Y7" s="2">
        <v>14</v>
      </c>
      <c r="Z7" s="2">
        <v>14</v>
      </c>
      <c r="AA7" s="2">
        <v>14</v>
      </c>
      <c r="AB7" s="2">
        <v>14</v>
      </c>
      <c r="AC7" s="2">
        <v>14</v>
      </c>
      <c r="AD7" s="141">
        <v>14</v>
      </c>
      <c r="AE7" s="2">
        <v>14</v>
      </c>
      <c r="AF7" s="2">
        <v>14</v>
      </c>
      <c r="AG7" s="2">
        <v>14</v>
      </c>
      <c r="AH7" s="2">
        <v>14</v>
      </c>
      <c r="AI7" s="2">
        <v>14</v>
      </c>
      <c r="AJ7" s="2">
        <v>14</v>
      </c>
      <c r="AK7" s="2">
        <v>14</v>
      </c>
      <c r="AL7" s="2">
        <v>14</v>
      </c>
      <c r="AM7" s="2">
        <v>14</v>
      </c>
      <c r="AN7" s="2">
        <v>14</v>
      </c>
      <c r="AO7" s="2">
        <v>14</v>
      </c>
      <c r="AP7" s="2">
        <v>14</v>
      </c>
      <c r="AQ7" s="2">
        <v>14</v>
      </c>
      <c r="AR7" s="2">
        <v>14</v>
      </c>
      <c r="AS7" s="2">
        <v>14</v>
      </c>
      <c r="AT7" s="2">
        <v>14</v>
      </c>
      <c r="AU7" s="2">
        <v>14</v>
      </c>
      <c r="AV7" s="2">
        <v>14</v>
      </c>
      <c r="AW7" s="2">
        <v>14</v>
      </c>
      <c r="AX7" s="2">
        <v>14</v>
      </c>
      <c r="AY7" s="2">
        <v>14</v>
      </c>
      <c r="AZ7" s="2">
        <v>14</v>
      </c>
      <c r="BA7" s="2">
        <v>14</v>
      </c>
      <c r="BB7" s="2">
        <v>14</v>
      </c>
      <c r="BC7" s="2">
        <v>14</v>
      </c>
      <c r="BD7" s="2">
        <v>14</v>
      </c>
      <c r="BE7" s="2">
        <v>14</v>
      </c>
      <c r="BF7" s="2">
        <v>14</v>
      </c>
      <c r="BG7" s="2">
        <v>14</v>
      </c>
      <c r="BH7" s="2">
        <v>14</v>
      </c>
      <c r="BI7" s="17">
        <v>14</v>
      </c>
      <c r="BJ7" s="17">
        <v>14</v>
      </c>
      <c r="BK7" s="18">
        <v>14</v>
      </c>
      <c r="BL7" s="17">
        <v>7</v>
      </c>
      <c r="BM7" s="17">
        <v>7</v>
      </c>
      <c r="BN7" s="17">
        <v>7</v>
      </c>
      <c r="BO7" s="17">
        <v>7</v>
      </c>
      <c r="BP7" s="17">
        <v>7</v>
      </c>
      <c r="BQ7" s="17">
        <v>7</v>
      </c>
      <c r="BR7" s="17">
        <v>7</v>
      </c>
      <c r="BS7" s="19">
        <v>7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5">
        <v>1</v>
      </c>
      <c r="CB7" s="15">
        <v>1</v>
      </c>
      <c r="CC7" s="15">
        <v>1</v>
      </c>
      <c r="CD7" s="15">
        <v>1</v>
      </c>
      <c r="CE7" s="15">
        <v>1</v>
      </c>
      <c r="CF7" s="15">
        <v>1</v>
      </c>
      <c r="CG7" s="15">
        <v>1</v>
      </c>
      <c r="CH7" s="15">
        <v>1</v>
      </c>
    </row>
    <row r="8" spans="1:86" x14ac:dyDescent="0.25">
      <c r="A8" s="20">
        <v>1</v>
      </c>
      <c r="B8" s="21"/>
      <c r="C8" s="22" t="s">
        <v>25</v>
      </c>
      <c r="D8" s="22" t="s">
        <v>26</v>
      </c>
      <c r="E8" s="23"/>
      <c r="F8" s="23" t="s">
        <v>27</v>
      </c>
      <c r="G8" s="24" t="s">
        <v>28</v>
      </c>
      <c r="H8" s="24" t="s">
        <v>29</v>
      </c>
      <c r="I8" s="24"/>
      <c r="J8" s="24"/>
      <c r="K8" s="24">
        <v>50</v>
      </c>
      <c r="L8" s="24"/>
      <c r="M8" s="24"/>
      <c r="N8" s="24">
        <v>617972</v>
      </c>
      <c r="O8" s="24">
        <v>92187</v>
      </c>
      <c r="P8" s="23">
        <v>3470</v>
      </c>
      <c r="Q8" s="23"/>
      <c r="R8" s="23"/>
      <c r="S8" s="23">
        <v>2076</v>
      </c>
      <c r="T8" s="23">
        <v>2076</v>
      </c>
      <c r="U8" s="23">
        <v>2076</v>
      </c>
      <c r="V8" s="23">
        <v>2076</v>
      </c>
      <c r="W8" s="23">
        <v>2076</v>
      </c>
      <c r="X8" s="23">
        <v>2076</v>
      </c>
      <c r="Y8" s="23">
        <v>2076</v>
      </c>
      <c r="Z8" s="23">
        <v>2076</v>
      </c>
      <c r="AA8" s="23">
        <v>2076</v>
      </c>
      <c r="AB8" s="23">
        <v>2076</v>
      </c>
      <c r="AC8" s="23">
        <v>2076</v>
      </c>
      <c r="AD8" s="147">
        <v>2076</v>
      </c>
      <c r="AE8" s="23">
        <v>2076</v>
      </c>
      <c r="AF8" s="23">
        <v>2076</v>
      </c>
      <c r="AG8" s="23">
        <v>2076</v>
      </c>
      <c r="AH8" s="23">
        <v>2076</v>
      </c>
      <c r="AI8" s="23">
        <v>2076</v>
      </c>
      <c r="AJ8" s="23">
        <v>2076</v>
      </c>
      <c r="AK8" s="23">
        <v>2076</v>
      </c>
      <c r="AL8" s="23">
        <v>2076</v>
      </c>
      <c r="AM8" s="23">
        <v>2076</v>
      </c>
      <c r="AN8" s="23">
        <v>2076</v>
      </c>
      <c r="AO8" s="23">
        <v>2076</v>
      </c>
      <c r="AP8" s="23">
        <v>2076</v>
      </c>
      <c r="AQ8" s="23">
        <v>2076</v>
      </c>
      <c r="AR8" s="23">
        <v>2076</v>
      </c>
      <c r="AS8" s="23">
        <v>2076</v>
      </c>
      <c r="AT8" s="23">
        <v>2076</v>
      </c>
      <c r="AU8" s="23">
        <v>2076</v>
      </c>
      <c r="AV8" s="23">
        <v>2076</v>
      </c>
      <c r="AW8" s="23">
        <v>2076</v>
      </c>
      <c r="AX8" s="23">
        <v>2076</v>
      </c>
      <c r="AY8" s="23">
        <v>2076</v>
      </c>
      <c r="AZ8" s="23">
        <v>2076</v>
      </c>
      <c r="BA8" s="23">
        <v>2076</v>
      </c>
      <c r="BB8" s="23">
        <v>2076</v>
      </c>
      <c r="BC8" s="23">
        <v>2076</v>
      </c>
      <c r="BD8" s="23">
        <v>2076</v>
      </c>
      <c r="BE8" s="23">
        <v>2076</v>
      </c>
      <c r="BF8" s="25">
        <v>2076</v>
      </c>
      <c r="BG8" s="23">
        <v>2112</v>
      </c>
      <c r="BH8" s="23">
        <v>2112</v>
      </c>
      <c r="BI8" s="23">
        <v>2112</v>
      </c>
      <c r="BJ8" s="23">
        <v>2112</v>
      </c>
      <c r="BK8" s="23">
        <v>2112</v>
      </c>
      <c r="BL8" s="25">
        <v>2112</v>
      </c>
      <c r="BM8" s="23">
        <v>2088</v>
      </c>
      <c r="BN8" s="23">
        <v>2088</v>
      </c>
      <c r="BO8" s="23">
        <v>2088</v>
      </c>
      <c r="BP8" s="23">
        <v>2088</v>
      </c>
      <c r="BQ8" s="23">
        <v>2088</v>
      </c>
      <c r="BR8" s="23">
        <v>2088</v>
      </c>
      <c r="BS8" s="23">
        <v>2088</v>
      </c>
      <c r="BT8" s="23">
        <v>2088</v>
      </c>
      <c r="BU8" s="23">
        <v>2088</v>
      </c>
      <c r="BV8" s="23">
        <v>2088</v>
      </c>
      <c r="BW8" s="23">
        <v>2088</v>
      </c>
      <c r="BX8" s="23">
        <v>2088</v>
      </c>
      <c r="BY8" s="23">
        <v>2088</v>
      </c>
      <c r="BZ8" s="25">
        <v>2088</v>
      </c>
      <c r="CA8" s="23">
        <v>2023</v>
      </c>
      <c r="CB8" s="25">
        <v>2023</v>
      </c>
      <c r="CC8" s="26">
        <v>2023</v>
      </c>
      <c r="CD8" s="27">
        <v>2023</v>
      </c>
      <c r="CE8" s="27">
        <v>2008</v>
      </c>
      <c r="CF8" s="27">
        <v>2021</v>
      </c>
      <c r="CG8" s="27">
        <v>10</v>
      </c>
      <c r="CH8" s="27">
        <v>28</v>
      </c>
    </row>
    <row r="9" spans="1:86" x14ac:dyDescent="0.25">
      <c r="A9" s="20">
        <v>2</v>
      </c>
      <c r="B9" s="21"/>
      <c r="C9" s="23" t="s">
        <v>30</v>
      </c>
      <c r="D9" s="23" t="s">
        <v>31</v>
      </c>
      <c r="E9" s="23"/>
      <c r="F9" s="23" t="s">
        <v>27</v>
      </c>
      <c r="G9" s="24" t="s">
        <v>32</v>
      </c>
      <c r="H9" s="24" t="s">
        <v>33</v>
      </c>
      <c r="I9" s="24"/>
      <c r="J9" s="24"/>
      <c r="K9" s="28" t="s">
        <v>34</v>
      </c>
      <c r="L9" s="24"/>
      <c r="M9" s="24"/>
      <c r="N9" s="24">
        <v>617971</v>
      </c>
      <c r="O9" s="24">
        <v>92185</v>
      </c>
      <c r="P9" s="23">
        <v>3474</v>
      </c>
      <c r="Q9" s="23"/>
      <c r="R9" s="23"/>
      <c r="S9" s="23">
        <v>2090</v>
      </c>
      <c r="T9" s="23">
        <v>2090</v>
      </c>
      <c r="U9" s="23">
        <v>2090</v>
      </c>
      <c r="V9" s="23">
        <v>2090</v>
      </c>
      <c r="W9" s="23">
        <v>2090</v>
      </c>
      <c r="X9" s="23">
        <v>2090</v>
      </c>
      <c r="Y9" s="23">
        <v>2090</v>
      </c>
      <c r="Z9" s="23">
        <v>2090</v>
      </c>
      <c r="AA9" s="23">
        <v>2090</v>
      </c>
      <c r="AB9" s="23">
        <v>2090</v>
      </c>
      <c r="AC9" s="23">
        <v>2090</v>
      </c>
      <c r="AD9" s="138">
        <v>2090</v>
      </c>
      <c r="AE9" s="23">
        <v>2075</v>
      </c>
      <c r="AF9" s="23">
        <v>2075</v>
      </c>
      <c r="AG9" s="23">
        <v>2075</v>
      </c>
      <c r="AH9" s="23">
        <v>2075</v>
      </c>
      <c r="AI9" s="23">
        <v>2075</v>
      </c>
      <c r="AJ9" s="23">
        <v>2075</v>
      </c>
      <c r="AK9" s="23">
        <v>2075</v>
      </c>
      <c r="AL9" s="23">
        <v>2075</v>
      </c>
      <c r="AM9" s="29">
        <v>2075</v>
      </c>
      <c r="AN9" s="23">
        <v>2100</v>
      </c>
      <c r="AO9" s="23">
        <v>2100</v>
      </c>
      <c r="AP9" s="23">
        <v>2100</v>
      </c>
      <c r="AQ9" s="23">
        <v>2100</v>
      </c>
      <c r="AR9" s="23">
        <v>2100</v>
      </c>
      <c r="AS9" s="23">
        <v>2100</v>
      </c>
      <c r="AT9" s="30">
        <v>2100</v>
      </c>
      <c r="AU9" s="23">
        <v>2114</v>
      </c>
      <c r="AV9" s="23">
        <v>2114</v>
      </c>
      <c r="AW9" s="23">
        <v>2114</v>
      </c>
      <c r="AX9" s="23">
        <v>2114</v>
      </c>
      <c r="AY9" s="23">
        <v>2114</v>
      </c>
      <c r="AZ9" s="23">
        <v>2114</v>
      </c>
      <c r="BA9" s="23">
        <v>2114</v>
      </c>
      <c r="BB9" s="23">
        <v>2114</v>
      </c>
      <c r="BC9" s="23">
        <v>2114</v>
      </c>
      <c r="BD9" s="23">
        <v>2114</v>
      </c>
      <c r="BE9" s="23">
        <v>2114</v>
      </c>
      <c r="BF9" s="25">
        <v>2114</v>
      </c>
      <c r="BG9" s="31">
        <v>2099</v>
      </c>
      <c r="BH9" s="23">
        <v>2114</v>
      </c>
      <c r="BI9" s="23">
        <v>2114</v>
      </c>
      <c r="BJ9" s="23">
        <v>2114</v>
      </c>
      <c r="BK9" s="23">
        <v>2114</v>
      </c>
      <c r="BL9" s="23">
        <v>2114</v>
      </c>
      <c r="BM9" s="23">
        <v>2114</v>
      </c>
      <c r="BN9" s="25">
        <v>2114</v>
      </c>
      <c r="BO9" s="23">
        <v>2081</v>
      </c>
      <c r="BP9" s="23">
        <v>2081</v>
      </c>
      <c r="BQ9" s="23">
        <v>2081</v>
      </c>
      <c r="BR9" s="23">
        <v>2081</v>
      </c>
      <c r="BS9" s="23">
        <v>2081</v>
      </c>
      <c r="BT9" s="23">
        <v>2081</v>
      </c>
      <c r="BU9" s="25">
        <v>2081</v>
      </c>
      <c r="BV9" s="23">
        <v>2056</v>
      </c>
      <c r="BW9" s="25">
        <v>2056</v>
      </c>
      <c r="BX9" s="23">
        <v>2063</v>
      </c>
      <c r="BY9" s="23">
        <v>2063</v>
      </c>
      <c r="BZ9" s="25">
        <v>2063</v>
      </c>
      <c r="CA9" s="23">
        <v>2039</v>
      </c>
      <c r="CB9" s="25">
        <v>2039</v>
      </c>
      <c r="CC9" s="26">
        <v>2029</v>
      </c>
      <c r="CD9" s="27">
        <v>2029</v>
      </c>
      <c r="CE9" s="27">
        <v>2012</v>
      </c>
      <c r="CF9" s="27">
        <v>2022</v>
      </c>
      <c r="CG9" s="27">
        <v>2</v>
      </c>
      <c r="CH9" s="27">
        <v>27</v>
      </c>
    </row>
    <row r="10" spans="1:86" x14ac:dyDescent="0.25">
      <c r="A10" s="20">
        <v>3</v>
      </c>
      <c r="B10" s="21"/>
      <c r="C10" s="23" t="s">
        <v>35</v>
      </c>
      <c r="D10" s="23" t="s">
        <v>36</v>
      </c>
      <c r="E10" s="23"/>
      <c r="F10" s="23" t="s">
        <v>27</v>
      </c>
      <c r="G10" s="24" t="s">
        <v>28</v>
      </c>
      <c r="H10" s="24" t="s">
        <v>37</v>
      </c>
      <c r="I10" s="24"/>
      <c r="J10" s="24"/>
      <c r="K10" s="24">
        <v>150</v>
      </c>
      <c r="L10" s="24"/>
      <c r="M10" s="24"/>
      <c r="N10" s="24">
        <v>617994</v>
      </c>
      <c r="O10" s="24">
        <v>92202</v>
      </c>
      <c r="P10" s="23">
        <v>3456</v>
      </c>
      <c r="Q10" s="23"/>
      <c r="R10" s="23"/>
      <c r="S10" s="23">
        <v>2124</v>
      </c>
      <c r="T10" s="23">
        <v>2124</v>
      </c>
      <c r="U10" s="23">
        <v>2124</v>
      </c>
      <c r="V10" s="23">
        <v>2124</v>
      </c>
      <c r="W10" s="23">
        <v>2124</v>
      </c>
      <c r="X10" s="23">
        <v>2124</v>
      </c>
      <c r="Y10" s="23">
        <v>2124</v>
      </c>
      <c r="Z10" s="23">
        <v>2124</v>
      </c>
      <c r="AA10" s="23">
        <v>2124</v>
      </c>
      <c r="AB10" s="23">
        <v>2124</v>
      </c>
      <c r="AC10" s="23">
        <v>2124</v>
      </c>
      <c r="AD10" s="147">
        <v>2124</v>
      </c>
      <c r="AE10" s="23">
        <v>2124</v>
      </c>
      <c r="AF10" s="23">
        <v>2124</v>
      </c>
      <c r="AG10" s="23">
        <v>2124</v>
      </c>
      <c r="AH10" s="23">
        <v>2124</v>
      </c>
      <c r="AI10" s="23">
        <v>2124</v>
      </c>
      <c r="AJ10" s="23">
        <v>2124</v>
      </c>
      <c r="AK10" s="23">
        <v>2124</v>
      </c>
      <c r="AL10" s="23">
        <v>2124</v>
      </c>
      <c r="AM10" s="23">
        <v>2124</v>
      </c>
      <c r="AN10" s="23">
        <v>2124</v>
      </c>
      <c r="AO10" s="23">
        <v>2124</v>
      </c>
      <c r="AP10" s="23">
        <v>2124</v>
      </c>
      <c r="AQ10" s="29">
        <v>2124</v>
      </c>
      <c r="AR10" s="23">
        <v>2065</v>
      </c>
      <c r="AS10" s="23">
        <v>2065</v>
      </c>
      <c r="AT10" s="23">
        <v>2065</v>
      </c>
      <c r="AU10" s="23">
        <v>2065</v>
      </c>
      <c r="AV10" s="23">
        <v>2065</v>
      </c>
      <c r="AW10" s="23">
        <v>2065</v>
      </c>
      <c r="AX10" s="23">
        <v>2065</v>
      </c>
      <c r="AY10" s="23">
        <v>2065</v>
      </c>
      <c r="AZ10" s="23">
        <v>2065</v>
      </c>
      <c r="BA10" s="23">
        <v>2065</v>
      </c>
      <c r="BB10" s="23">
        <v>2065</v>
      </c>
      <c r="BC10" s="23">
        <v>2065</v>
      </c>
      <c r="BD10" s="23">
        <v>2065</v>
      </c>
      <c r="BE10" s="23">
        <v>2065</v>
      </c>
      <c r="BF10" s="25">
        <v>2065</v>
      </c>
      <c r="BG10" s="23">
        <v>2063</v>
      </c>
      <c r="BH10" s="23">
        <v>2063</v>
      </c>
      <c r="BI10" s="23">
        <v>2063</v>
      </c>
      <c r="BJ10" s="23">
        <v>2063</v>
      </c>
      <c r="BK10" s="23">
        <v>2063</v>
      </c>
      <c r="BL10" s="25">
        <v>2063</v>
      </c>
      <c r="BM10" s="23">
        <v>2074</v>
      </c>
      <c r="BN10" s="23">
        <v>2074</v>
      </c>
      <c r="BO10" s="23">
        <v>2074</v>
      </c>
      <c r="BP10" s="23">
        <v>2074</v>
      </c>
      <c r="BQ10" s="23">
        <v>2074</v>
      </c>
      <c r="BR10" s="23">
        <v>2074</v>
      </c>
      <c r="BS10" s="23">
        <v>2074</v>
      </c>
      <c r="BT10" s="23">
        <v>2074</v>
      </c>
      <c r="BU10" s="23">
        <v>2074</v>
      </c>
      <c r="BV10" s="23">
        <v>2074</v>
      </c>
      <c r="BW10" s="23">
        <v>2074</v>
      </c>
      <c r="BX10" s="23">
        <v>2074</v>
      </c>
      <c r="BY10" s="23">
        <v>2074</v>
      </c>
      <c r="BZ10" s="25">
        <v>2074</v>
      </c>
      <c r="CA10" s="23">
        <v>2035</v>
      </c>
      <c r="CB10" s="25">
        <v>2035</v>
      </c>
      <c r="CC10" s="26">
        <v>2019</v>
      </c>
      <c r="CD10" s="27">
        <v>2019</v>
      </c>
      <c r="CE10" s="27">
        <v>2006</v>
      </c>
      <c r="CF10" s="27">
        <v>2023</v>
      </c>
      <c r="CG10" s="27">
        <v>3</v>
      </c>
      <c r="CH10" s="27">
        <v>23</v>
      </c>
    </row>
    <row r="11" spans="1:86" x14ac:dyDescent="0.25">
      <c r="A11" s="20">
        <v>4</v>
      </c>
      <c r="B11" s="21"/>
      <c r="C11" s="23" t="s">
        <v>38</v>
      </c>
      <c r="D11" s="23" t="s">
        <v>39</v>
      </c>
      <c r="E11" s="23"/>
      <c r="F11" s="23" t="s">
        <v>27</v>
      </c>
      <c r="G11" s="24" t="s">
        <v>28</v>
      </c>
      <c r="H11" s="24" t="s">
        <v>40</v>
      </c>
      <c r="I11" s="24"/>
      <c r="J11" s="24"/>
      <c r="K11" s="24">
        <v>50</v>
      </c>
      <c r="L11" s="24"/>
      <c r="M11" s="24"/>
      <c r="N11" s="32">
        <v>617966</v>
      </c>
      <c r="O11" s="32">
        <v>92174</v>
      </c>
      <c r="P11" s="33">
        <v>3443</v>
      </c>
      <c r="Q11" s="23"/>
      <c r="R11" s="33"/>
      <c r="S11" s="23">
        <v>2080</v>
      </c>
      <c r="T11" s="23">
        <v>2080</v>
      </c>
      <c r="U11" s="23">
        <v>2080</v>
      </c>
      <c r="V11" s="23">
        <v>2080</v>
      </c>
      <c r="W11" s="23">
        <v>2080</v>
      </c>
      <c r="X11" s="23">
        <v>2080</v>
      </c>
      <c r="Y11" s="23">
        <v>2080</v>
      </c>
      <c r="Z11" s="23">
        <v>2080</v>
      </c>
      <c r="AA11" s="23">
        <v>2080</v>
      </c>
      <c r="AB11" s="23">
        <v>2080</v>
      </c>
      <c r="AC11" s="23">
        <v>2080</v>
      </c>
      <c r="AD11" s="147">
        <v>2080</v>
      </c>
      <c r="AE11" s="23">
        <v>2080</v>
      </c>
      <c r="AF11" s="23">
        <v>2080</v>
      </c>
      <c r="AG11" s="23">
        <v>2080</v>
      </c>
      <c r="AH11" s="23">
        <v>2080</v>
      </c>
      <c r="AI11" s="23">
        <v>2080</v>
      </c>
      <c r="AJ11" s="23">
        <v>2080</v>
      </c>
      <c r="AK11" s="23">
        <v>2080</v>
      </c>
      <c r="AL11" s="23">
        <v>2080</v>
      </c>
      <c r="AM11" s="23">
        <v>2080</v>
      </c>
      <c r="AN11" s="23">
        <v>2080</v>
      </c>
      <c r="AO11" s="23">
        <v>2080</v>
      </c>
      <c r="AP11" s="23">
        <v>2080</v>
      </c>
      <c r="AQ11" s="23">
        <v>2080</v>
      </c>
      <c r="AR11" s="23">
        <v>2080</v>
      </c>
      <c r="AS11" s="29">
        <v>2080</v>
      </c>
      <c r="AT11" s="23">
        <v>2122</v>
      </c>
      <c r="AU11" s="23">
        <v>2122</v>
      </c>
      <c r="AV11" s="23">
        <v>2122</v>
      </c>
      <c r="AW11" s="23">
        <v>2122</v>
      </c>
      <c r="AX11" s="23">
        <v>2122</v>
      </c>
      <c r="AY11" s="23">
        <v>2122</v>
      </c>
      <c r="AZ11" s="23">
        <v>2122</v>
      </c>
      <c r="BA11" s="23">
        <v>2122</v>
      </c>
      <c r="BB11" s="23">
        <v>2122</v>
      </c>
      <c r="BC11" s="23">
        <v>2122</v>
      </c>
      <c r="BD11" s="23">
        <v>2122</v>
      </c>
      <c r="BE11" s="23">
        <v>2122</v>
      </c>
      <c r="BF11" s="25">
        <v>2122</v>
      </c>
      <c r="BG11" s="23">
        <v>2072</v>
      </c>
      <c r="BH11" s="23">
        <v>2072</v>
      </c>
      <c r="BI11" s="23">
        <v>2072</v>
      </c>
      <c r="BJ11" s="23">
        <v>2072</v>
      </c>
      <c r="BK11" s="23">
        <v>2072</v>
      </c>
      <c r="BL11" s="25">
        <v>2072</v>
      </c>
      <c r="BM11" s="23">
        <v>2068</v>
      </c>
      <c r="BN11" s="23">
        <v>2068</v>
      </c>
      <c r="BO11" s="23">
        <v>2068</v>
      </c>
      <c r="BP11" s="25">
        <v>2068</v>
      </c>
      <c r="BQ11" s="23">
        <v>2082</v>
      </c>
      <c r="BR11" s="23">
        <v>2082</v>
      </c>
      <c r="BS11" s="23">
        <v>2082</v>
      </c>
      <c r="BT11" s="23">
        <v>2082</v>
      </c>
      <c r="BU11" s="23">
        <v>2082</v>
      </c>
      <c r="BV11" s="23">
        <v>2082</v>
      </c>
      <c r="BW11" s="23">
        <v>2082</v>
      </c>
      <c r="BX11" s="23">
        <v>2082</v>
      </c>
      <c r="BY11" s="23">
        <v>2082</v>
      </c>
      <c r="BZ11" s="25">
        <v>2082</v>
      </c>
      <c r="CA11" s="23">
        <v>2021</v>
      </c>
      <c r="CB11" s="25">
        <v>2021</v>
      </c>
      <c r="CC11" s="26">
        <v>2036</v>
      </c>
      <c r="CD11" s="27">
        <v>2036</v>
      </c>
      <c r="CE11" s="27">
        <v>2003</v>
      </c>
      <c r="CF11" s="27">
        <v>2024</v>
      </c>
      <c r="CG11" s="27">
        <v>4</v>
      </c>
      <c r="CH11" s="27">
        <v>29</v>
      </c>
    </row>
    <row r="12" spans="1:86" x14ac:dyDescent="0.25">
      <c r="A12" s="20">
        <v>5</v>
      </c>
      <c r="B12" s="21"/>
      <c r="C12" s="23" t="s">
        <v>41</v>
      </c>
      <c r="D12" s="23"/>
      <c r="E12" s="22"/>
      <c r="F12" s="23" t="s">
        <v>42</v>
      </c>
      <c r="G12" s="24" t="s">
        <v>43</v>
      </c>
      <c r="H12" s="24" t="s">
        <v>44</v>
      </c>
      <c r="I12" s="24"/>
      <c r="J12" s="24"/>
      <c r="K12" s="24"/>
      <c r="L12" s="24"/>
      <c r="M12" s="24"/>
      <c r="N12" s="24">
        <v>617968</v>
      </c>
      <c r="O12" s="24">
        <v>92178</v>
      </c>
      <c r="P12" s="23">
        <v>3476</v>
      </c>
      <c r="Q12" s="23"/>
      <c r="R12" s="23"/>
      <c r="S12" s="23">
        <v>2132</v>
      </c>
      <c r="T12" s="23">
        <v>2132</v>
      </c>
      <c r="U12" s="23">
        <v>2132</v>
      </c>
      <c r="V12" s="23">
        <v>2132</v>
      </c>
      <c r="W12" s="23">
        <v>2132</v>
      </c>
      <c r="X12" s="23">
        <v>2132</v>
      </c>
      <c r="Y12" s="23">
        <v>2132</v>
      </c>
      <c r="Z12" s="23">
        <v>2132</v>
      </c>
      <c r="AA12" s="23">
        <v>2132</v>
      </c>
      <c r="AB12" s="23">
        <v>2132</v>
      </c>
      <c r="AC12" s="23">
        <v>2132</v>
      </c>
      <c r="AD12" s="147">
        <v>2132</v>
      </c>
      <c r="AE12" s="23">
        <v>2132</v>
      </c>
      <c r="AF12" s="23">
        <v>2132</v>
      </c>
      <c r="AG12" s="23">
        <v>2132</v>
      </c>
      <c r="AH12" s="23">
        <v>2132</v>
      </c>
      <c r="AI12" s="23">
        <v>2132</v>
      </c>
      <c r="AJ12" s="23">
        <v>2132</v>
      </c>
      <c r="AK12" s="23">
        <v>2132</v>
      </c>
      <c r="AL12" s="23">
        <v>2132</v>
      </c>
      <c r="AM12" s="23">
        <v>2132</v>
      </c>
      <c r="AN12" s="23">
        <v>2132</v>
      </c>
      <c r="AO12" s="23">
        <v>2132</v>
      </c>
      <c r="AP12" s="23">
        <v>2132</v>
      </c>
      <c r="AQ12" s="23">
        <v>2132</v>
      </c>
      <c r="AR12" s="23">
        <v>2132</v>
      </c>
      <c r="AS12" s="23">
        <v>2132</v>
      </c>
      <c r="AT12" s="23">
        <v>2132</v>
      </c>
      <c r="AU12" s="23">
        <v>2132</v>
      </c>
      <c r="AV12" s="23">
        <v>2132</v>
      </c>
      <c r="AW12" s="23">
        <v>2132</v>
      </c>
      <c r="AX12" s="23">
        <v>2132</v>
      </c>
      <c r="AY12" s="23">
        <v>2132</v>
      </c>
      <c r="AZ12" s="23">
        <v>2132</v>
      </c>
      <c r="BA12" s="23">
        <v>2132</v>
      </c>
      <c r="BB12" s="23">
        <v>2132</v>
      </c>
      <c r="BC12" s="23">
        <v>2132</v>
      </c>
      <c r="BD12" s="23">
        <v>2132</v>
      </c>
      <c r="BE12" s="23">
        <v>2132</v>
      </c>
      <c r="BF12" s="25">
        <v>2132</v>
      </c>
      <c r="BG12" s="23">
        <v>2083</v>
      </c>
      <c r="BH12" s="23">
        <v>2083</v>
      </c>
      <c r="BI12" s="23">
        <v>2083</v>
      </c>
      <c r="BJ12" s="23">
        <v>2083</v>
      </c>
      <c r="BK12" s="23">
        <v>2083</v>
      </c>
      <c r="BL12" s="23">
        <v>2083</v>
      </c>
      <c r="BM12" s="25">
        <v>2083</v>
      </c>
      <c r="BN12" s="23">
        <v>2118</v>
      </c>
      <c r="BO12" s="25">
        <v>2118</v>
      </c>
      <c r="BP12" s="23">
        <v>2128</v>
      </c>
      <c r="BQ12" s="25">
        <v>2128</v>
      </c>
      <c r="BR12" s="23">
        <v>2067</v>
      </c>
      <c r="BS12" s="23">
        <v>2067</v>
      </c>
      <c r="BT12" s="23">
        <v>2067</v>
      </c>
      <c r="BU12" s="23">
        <v>2067</v>
      </c>
      <c r="BV12" s="23">
        <v>2067</v>
      </c>
      <c r="BW12" s="23">
        <v>2067</v>
      </c>
      <c r="BX12" s="23">
        <v>2067</v>
      </c>
      <c r="BY12" s="23">
        <v>2067</v>
      </c>
      <c r="BZ12" s="25">
        <v>2067</v>
      </c>
      <c r="CA12" s="23">
        <v>2019</v>
      </c>
      <c r="CB12" s="25">
        <v>2019</v>
      </c>
      <c r="CC12" s="26">
        <v>2039</v>
      </c>
      <c r="CD12" s="27">
        <v>2039</v>
      </c>
      <c r="CE12" s="27">
        <v>2015</v>
      </c>
      <c r="CF12" s="27">
        <v>2025</v>
      </c>
      <c r="CG12" s="27">
        <v>8</v>
      </c>
      <c r="CH12" s="27">
        <v>22</v>
      </c>
    </row>
    <row r="13" spans="1:86" x14ac:dyDescent="0.25">
      <c r="A13" s="20">
        <v>6</v>
      </c>
      <c r="B13" s="21"/>
      <c r="C13" s="23" t="s">
        <v>45</v>
      </c>
      <c r="D13" s="23" t="s">
        <v>46</v>
      </c>
      <c r="E13" s="23"/>
      <c r="F13" s="23" t="s">
        <v>27</v>
      </c>
      <c r="G13" s="24" t="s">
        <v>47</v>
      </c>
      <c r="H13" s="24" t="s">
        <v>48</v>
      </c>
      <c r="I13" s="24"/>
      <c r="J13" s="24"/>
      <c r="K13" s="34">
        <v>100200</v>
      </c>
      <c r="L13" s="34"/>
      <c r="M13" s="34"/>
      <c r="N13" s="24">
        <v>617967</v>
      </c>
      <c r="O13" s="24">
        <v>92177</v>
      </c>
      <c r="P13" s="23">
        <v>3476</v>
      </c>
      <c r="Q13" s="23"/>
      <c r="R13" s="23"/>
      <c r="S13" s="23">
        <v>2084</v>
      </c>
      <c r="T13" s="23">
        <v>2084</v>
      </c>
      <c r="U13" s="23">
        <v>2084</v>
      </c>
      <c r="V13" s="23">
        <v>2084</v>
      </c>
      <c r="W13" s="23">
        <v>2084</v>
      </c>
      <c r="X13" s="23">
        <v>2084</v>
      </c>
      <c r="Y13" s="23">
        <v>2084</v>
      </c>
      <c r="Z13" s="23">
        <v>2084</v>
      </c>
      <c r="AA13" s="23">
        <v>2084</v>
      </c>
      <c r="AB13" s="23">
        <v>2084</v>
      </c>
      <c r="AC13" s="23">
        <v>2084</v>
      </c>
      <c r="AD13" s="147">
        <v>2084</v>
      </c>
      <c r="AE13" s="23">
        <v>2084</v>
      </c>
      <c r="AF13" s="23">
        <v>2084</v>
      </c>
      <c r="AG13" s="23">
        <v>2084</v>
      </c>
      <c r="AH13" s="23">
        <v>2084</v>
      </c>
      <c r="AI13" s="23">
        <v>2084</v>
      </c>
      <c r="AJ13" s="23">
        <v>2084</v>
      </c>
      <c r="AK13" s="23">
        <v>2084</v>
      </c>
      <c r="AL13" s="23">
        <v>2084</v>
      </c>
      <c r="AM13" s="23">
        <v>2084</v>
      </c>
      <c r="AN13" s="23">
        <v>2084</v>
      </c>
      <c r="AO13" s="23">
        <v>2084</v>
      </c>
      <c r="AP13" s="23">
        <v>2084</v>
      </c>
      <c r="AQ13" s="23">
        <v>2084</v>
      </c>
      <c r="AR13" s="23">
        <v>2084</v>
      </c>
      <c r="AS13" s="23">
        <v>2084</v>
      </c>
      <c r="AT13" s="23">
        <v>2084</v>
      </c>
      <c r="AU13" s="23">
        <v>2084</v>
      </c>
      <c r="AV13" s="23">
        <v>2084</v>
      </c>
      <c r="AW13" s="23">
        <v>2084</v>
      </c>
      <c r="AX13" s="23">
        <v>2084</v>
      </c>
      <c r="AY13" s="23">
        <v>2084</v>
      </c>
      <c r="AZ13" s="23">
        <v>2084</v>
      </c>
      <c r="BA13" s="23">
        <v>2084</v>
      </c>
      <c r="BB13" s="23">
        <v>2084</v>
      </c>
      <c r="BC13" s="23">
        <v>2084</v>
      </c>
      <c r="BD13" s="23">
        <v>2084</v>
      </c>
      <c r="BE13" s="23">
        <v>2084</v>
      </c>
      <c r="BF13" s="25">
        <v>2084</v>
      </c>
      <c r="BG13" s="23">
        <v>2085</v>
      </c>
      <c r="BH13" s="23">
        <v>2085</v>
      </c>
      <c r="BI13" s="23">
        <v>2085</v>
      </c>
      <c r="BJ13" s="23">
        <v>2085</v>
      </c>
      <c r="BK13" s="23">
        <v>2085</v>
      </c>
      <c r="BL13" s="23">
        <v>2085</v>
      </c>
      <c r="BM13" s="25">
        <v>2085</v>
      </c>
      <c r="BN13" s="23">
        <v>2072</v>
      </c>
      <c r="BO13" s="23">
        <v>2072</v>
      </c>
      <c r="BP13" s="23">
        <v>2072</v>
      </c>
      <c r="BQ13" s="23">
        <v>2072</v>
      </c>
      <c r="BR13" s="23">
        <v>2072</v>
      </c>
      <c r="BS13" s="23">
        <v>2072</v>
      </c>
      <c r="BT13" s="23">
        <v>2072</v>
      </c>
      <c r="BU13" s="23">
        <v>2072</v>
      </c>
      <c r="BV13" s="23">
        <v>2072</v>
      </c>
      <c r="BW13" s="23">
        <v>2072</v>
      </c>
      <c r="BX13" s="23">
        <v>2072</v>
      </c>
      <c r="BY13" s="23">
        <v>2072</v>
      </c>
      <c r="BZ13" s="25">
        <v>2072</v>
      </c>
      <c r="CA13" s="23">
        <v>2022</v>
      </c>
      <c r="CB13" s="25">
        <v>2022</v>
      </c>
      <c r="CC13" s="26">
        <v>2018</v>
      </c>
      <c r="CD13" s="27">
        <v>2018</v>
      </c>
      <c r="CE13" s="27">
        <v>2014</v>
      </c>
      <c r="CF13" s="27">
        <v>2035</v>
      </c>
      <c r="CG13" s="27">
        <v>7</v>
      </c>
      <c r="CH13" s="27">
        <v>31</v>
      </c>
    </row>
    <row r="14" spans="1:86" x14ac:dyDescent="0.25">
      <c r="A14" s="20">
        <v>7</v>
      </c>
      <c r="B14" s="21"/>
      <c r="C14" s="23" t="s">
        <v>49</v>
      </c>
      <c r="D14" s="23"/>
      <c r="E14" s="22"/>
      <c r="F14" s="23" t="s">
        <v>42</v>
      </c>
      <c r="G14" s="24" t="s">
        <v>43</v>
      </c>
      <c r="H14" s="24" t="s">
        <v>50</v>
      </c>
      <c r="I14" s="24"/>
      <c r="J14" s="24"/>
      <c r="K14" s="24"/>
      <c r="L14" s="24"/>
      <c r="M14" s="24"/>
      <c r="N14" s="24">
        <v>618018</v>
      </c>
      <c r="O14" s="24">
        <v>92204</v>
      </c>
      <c r="P14" s="23">
        <v>3418</v>
      </c>
      <c r="Q14" s="23"/>
      <c r="R14" s="23"/>
      <c r="S14" s="23">
        <v>2140</v>
      </c>
      <c r="T14" s="23">
        <v>2140</v>
      </c>
      <c r="U14" s="23">
        <v>2140</v>
      </c>
      <c r="V14" s="23">
        <v>2140</v>
      </c>
      <c r="W14" s="23">
        <v>2140</v>
      </c>
      <c r="X14" s="23">
        <v>2140</v>
      </c>
      <c r="Y14" s="23">
        <v>2140</v>
      </c>
      <c r="Z14" s="23">
        <v>2140</v>
      </c>
      <c r="AA14" s="23">
        <v>2140</v>
      </c>
      <c r="AB14" s="23">
        <v>2140</v>
      </c>
      <c r="AC14" s="23">
        <v>2140</v>
      </c>
      <c r="AD14" s="147">
        <v>2140</v>
      </c>
      <c r="AE14" s="23">
        <v>2140</v>
      </c>
      <c r="AF14" s="23">
        <v>2140</v>
      </c>
      <c r="AG14" s="23">
        <v>2140</v>
      </c>
      <c r="AH14" s="23">
        <v>2140</v>
      </c>
      <c r="AI14" s="23">
        <v>2140</v>
      </c>
      <c r="AJ14" s="23">
        <v>2140</v>
      </c>
      <c r="AK14" s="23">
        <v>2140</v>
      </c>
      <c r="AL14" s="23">
        <v>2140</v>
      </c>
      <c r="AM14" s="23">
        <v>2140</v>
      </c>
      <c r="AN14" s="23">
        <v>2140</v>
      </c>
      <c r="AO14" s="23">
        <v>2140</v>
      </c>
      <c r="AP14" s="23">
        <v>2140</v>
      </c>
      <c r="AQ14" s="23">
        <v>2140</v>
      </c>
      <c r="AR14" s="23">
        <v>2140</v>
      </c>
      <c r="AS14" s="23">
        <v>2140</v>
      </c>
      <c r="AT14" s="23">
        <v>2140</v>
      </c>
      <c r="AU14" s="23">
        <v>2140</v>
      </c>
      <c r="AV14" s="23">
        <v>2140</v>
      </c>
      <c r="AW14" s="23">
        <v>2140</v>
      </c>
      <c r="AX14" s="23">
        <v>2140</v>
      </c>
      <c r="AY14" s="23">
        <v>2140</v>
      </c>
      <c r="AZ14" s="23">
        <v>2140</v>
      </c>
      <c r="BA14" s="23">
        <v>2140</v>
      </c>
      <c r="BB14" s="23">
        <v>2140</v>
      </c>
      <c r="BC14" s="23">
        <v>2140</v>
      </c>
      <c r="BD14" s="23">
        <v>2140</v>
      </c>
      <c r="BE14" s="23">
        <v>2140</v>
      </c>
      <c r="BF14" s="25">
        <v>2140</v>
      </c>
      <c r="BG14" s="23">
        <v>2125</v>
      </c>
      <c r="BH14" s="23">
        <v>2125</v>
      </c>
      <c r="BI14" s="23">
        <v>2125</v>
      </c>
      <c r="BJ14" s="31">
        <v>2125</v>
      </c>
      <c r="BK14" s="23">
        <v>2095</v>
      </c>
      <c r="BL14" s="23">
        <v>2095</v>
      </c>
      <c r="BM14" s="25">
        <v>2095</v>
      </c>
      <c r="BN14" s="23">
        <v>2117</v>
      </c>
      <c r="BO14" s="25">
        <v>2117</v>
      </c>
      <c r="BP14" s="23">
        <v>2102</v>
      </c>
      <c r="BQ14" s="25">
        <v>2102</v>
      </c>
      <c r="BR14" s="23">
        <v>2068</v>
      </c>
      <c r="BS14" s="23">
        <v>2068</v>
      </c>
      <c r="BT14" s="23">
        <v>2068</v>
      </c>
      <c r="BU14" s="25">
        <v>2068</v>
      </c>
      <c r="BV14" s="23">
        <v>2076</v>
      </c>
      <c r="BW14" s="23">
        <v>2076</v>
      </c>
      <c r="BX14" s="23">
        <v>2076</v>
      </c>
      <c r="BY14" s="23">
        <v>2076</v>
      </c>
      <c r="BZ14" s="25">
        <v>2076</v>
      </c>
      <c r="CA14" s="23">
        <v>2024</v>
      </c>
      <c r="CB14" s="25">
        <v>2024</v>
      </c>
      <c r="CC14" s="27">
        <v>2013</v>
      </c>
      <c r="CD14" s="27">
        <v>2025</v>
      </c>
      <c r="CE14" s="27">
        <v>2007</v>
      </c>
      <c r="CF14" s="27">
        <v>2027</v>
      </c>
      <c r="CG14" s="27">
        <v>6</v>
      </c>
      <c r="CH14" s="27">
        <v>25</v>
      </c>
    </row>
    <row r="15" spans="1:86" x14ac:dyDescent="0.25">
      <c r="A15" s="20">
        <v>8</v>
      </c>
      <c r="B15" s="21"/>
      <c r="C15" s="23" t="s">
        <v>51</v>
      </c>
      <c r="D15" s="23" t="s">
        <v>52</v>
      </c>
      <c r="E15" s="22"/>
      <c r="F15" s="23" t="s">
        <v>27</v>
      </c>
      <c r="G15" s="24" t="s">
        <v>53</v>
      </c>
      <c r="H15" s="24" t="s">
        <v>54</v>
      </c>
      <c r="I15" s="24"/>
      <c r="J15" s="24"/>
      <c r="K15" s="34">
        <v>100150</v>
      </c>
      <c r="L15" s="34"/>
      <c r="M15" s="34"/>
      <c r="N15" s="24">
        <v>618019</v>
      </c>
      <c r="O15" s="24">
        <v>92203</v>
      </c>
      <c r="P15" s="23">
        <v>3414</v>
      </c>
      <c r="Q15" s="23"/>
      <c r="R15" s="23"/>
      <c r="S15" s="23">
        <v>2046</v>
      </c>
      <c r="T15" s="23">
        <v>2046</v>
      </c>
      <c r="U15" s="23">
        <v>2046</v>
      </c>
      <c r="V15" s="23">
        <v>2046</v>
      </c>
      <c r="W15" s="23">
        <v>2046</v>
      </c>
      <c r="X15" s="23">
        <v>2046</v>
      </c>
      <c r="Y15" s="23">
        <v>2046</v>
      </c>
      <c r="Z15" s="23">
        <v>2046</v>
      </c>
      <c r="AA15" s="23">
        <v>2046</v>
      </c>
      <c r="AB15" s="23">
        <v>2046</v>
      </c>
      <c r="AC15" s="23">
        <v>2046</v>
      </c>
      <c r="AD15" s="147">
        <v>2046</v>
      </c>
      <c r="AE15" s="23">
        <v>2046</v>
      </c>
      <c r="AF15" s="23">
        <v>2046</v>
      </c>
      <c r="AG15" s="23">
        <v>2046</v>
      </c>
      <c r="AH15" s="23">
        <v>2046</v>
      </c>
      <c r="AI15" s="23">
        <v>2046</v>
      </c>
      <c r="AJ15" s="23">
        <v>2046</v>
      </c>
      <c r="AK15" s="23">
        <v>2046</v>
      </c>
      <c r="AL15" s="23">
        <v>2046</v>
      </c>
      <c r="AM15" s="29">
        <v>2046</v>
      </c>
      <c r="AN15" s="29">
        <v>2058</v>
      </c>
      <c r="AO15" s="23">
        <v>2075</v>
      </c>
      <c r="AP15" s="23">
        <v>2075</v>
      </c>
      <c r="AQ15" s="23">
        <v>2075</v>
      </c>
      <c r="AR15" s="23">
        <v>2075</v>
      </c>
      <c r="AS15" s="23">
        <v>2075</v>
      </c>
      <c r="AT15" s="23">
        <v>2075</v>
      </c>
      <c r="AU15" s="23">
        <v>2075</v>
      </c>
      <c r="AV15" s="23">
        <v>2075</v>
      </c>
      <c r="AW15" s="23">
        <v>2075</v>
      </c>
      <c r="AX15" s="23">
        <v>2075</v>
      </c>
      <c r="AY15" s="23">
        <v>2075</v>
      </c>
      <c r="AZ15" s="23">
        <v>2075</v>
      </c>
      <c r="BA15" s="23">
        <v>2075</v>
      </c>
      <c r="BB15" s="23">
        <v>2075</v>
      </c>
      <c r="BC15" s="23">
        <v>2075</v>
      </c>
      <c r="BD15" s="23">
        <v>2075</v>
      </c>
      <c r="BE15" s="23">
        <v>2075</v>
      </c>
      <c r="BF15" s="25">
        <v>2075</v>
      </c>
      <c r="BG15" s="23">
        <v>2124</v>
      </c>
      <c r="BH15" s="23">
        <v>2124</v>
      </c>
      <c r="BI15" s="23">
        <v>2124</v>
      </c>
      <c r="BJ15" s="31">
        <v>2124</v>
      </c>
      <c r="BK15" s="23">
        <v>2093</v>
      </c>
      <c r="BL15" s="23">
        <v>2093</v>
      </c>
      <c r="BM15" s="25">
        <v>2093</v>
      </c>
      <c r="BN15" s="23">
        <v>2091</v>
      </c>
      <c r="BO15" s="23">
        <v>2091</v>
      </c>
      <c r="BP15" s="23">
        <v>2091</v>
      </c>
      <c r="BQ15" s="23">
        <v>2091</v>
      </c>
      <c r="BR15" s="23">
        <v>2091</v>
      </c>
      <c r="BS15" s="23">
        <v>2091</v>
      </c>
      <c r="BT15" s="23">
        <v>2091</v>
      </c>
      <c r="BU15" s="23">
        <v>2091</v>
      </c>
      <c r="BV15" s="23">
        <v>2091</v>
      </c>
      <c r="BW15" s="25">
        <v>2091</v>
      </c>
      <c r="BX15" s="23">
        <v>2087</v>
      </c>
      <c r="BY15" s="23">
        <v>2087</v>
      </c>
      <c r="BZ15" s="25">
        <v>2087</v>
      </c>
      <c r="CA15" s="25">
        <v>2003</v>
      </c>
      <c r="CB15" s="25">
        <v>2011</v>
      </c>
      <c r="CC15" s="26">
        <v>2021</v>
      </c>
      <c r="CD15" s="27">
        <v>2021</v>
      </c>
      <c r="CE15" s="27">
        <v>2005</v>
      </c>
      <c r="CF15" s="27">
        <v>2028</v>
      </c>
      <c r="CG15" s="27">
        <v>5</v>
      </c>
      <c r="CH15" s="27">
        <v>24</v>
      </c>
    </row>
    <row r="16" spans="1:86" x14ac:dyDescent="0.25">
      <c r="A16" s="20">
        <v>9</v>
      </c>
      <c r="B16" s="21"/>
      <c r="C16" s="23" t="s">
        <v>55</v>
      </c>
      <c r="D16" s="23"/>
      <c r="E16" s="23"/>
      <c r="F16" s="23" t="s">
        <v>27</v>
      </c>
      <c r="G16" s="24" t="s">
        <v>56</v>
      </c>
      <c r="H16" s="24" t="s">
        <v>57</v>
      </c>
      <c r="I16" s="24"/>
      <c r="J16" s="24"/>
      <c r="K16" s="34">
        <v>100200200</v>
      </c>
      <c r="L16" s="34"/>
      <c r="M16" s="34"/>
      <c r="N16" s="24">
        <v>617911</v>
      </c>
      <c r="O16" s="24">
        <v>92131</v>
      </c>
      <c r="P16" s="23">
        <v>3534</v>
      </c>
      <c r="Q16" s="23"/>
      <c r="R16" s="23"/>
      <c r="S16" s="23">
        <v>2133</v>
      </c>
      <c r="T16" s="23">
        <v>2133</v>
      </c>
      <c r="U16" s="23">
        <v>2133</v>
      </c>
      <c r="V16" s="23">
        <v>2133</v>
      </c>
      <c r="W16" s="23">
        <v>2133</v>
      </c>
      <c r="X16" s="23">
        <v>2133</v>
      </c>
      <c r="Y16" s="23">
        <v>2133</v>
      </c>
      <c r="Z16" s="23">
        <v>2133</v>
      </c>
      <c r="AA16" s="23">
        <v>2133</v>
      </c>
      <c r="AB16" s="23">
        <v>2133</v>
      </c>
      <c r="AC16" s="23">
        <v>2133</v>
      </c>
      <c r="AD16" s="138">
        <v>2133</v>
      </c>
      <c r="AE16" s="23">
        <v>2113</v>
      </c>
      <c r="AF16" s="23">
        <v>2113</v>
      </c>
      <c r="AG16" s="23">
        <v>2113</v>
      </c>
      <c r="AH16" s="23">
        <v>2113</v>
      </c>
      <c r="AI16" s="23">
        <v>2113</v>
      </c>
      <c r="AJ16" s="23">
        <v>2113</v>
      </c>
      <c r="AK16" s="23">
        <v>2113</v>
      </c>
      <c r="AL16" s="23">
        <v>2113</v>
      </c>
      <c r="AM16" s="29">
        <v>2113</v>
      </c>
      <c r="AN16" s="23">
        <v>2095</v>
      </c>
      <c r="AO16" s="23">
        <v>2095</v>
      </c>
      <c r="AP16" s="23">
        <v>2095</v>
      </c>
      <c r="AQ16" s="23">
        <v>2095</v>
      </c>
      <c r="AR16" s="23">
        <v>2095</v>
      </c>
      <c r="AS16" s="23">
        <v>2095</v>
      </c>
      <c r="AT16" s="23">
        <v>2095</v>
      </c>
      <c r="AU16" s="23">
        <v>2095</v>
      </c>
      <c r="AV16" s="23">
        <v>2095</v>
      </c>
      <c r="AW16" s="23">
        <v>2095</v>
      </c>
      <c r="AX16" s="23">
        <v>2095</v>
      </c>
      <c r="AY16" s="23">
        <v>2095</v>
      </c>
      <c r="AZ16" s="23">
        <v>2095</v>
      </c>
      <c r="BA16" s="23">
        <v>2095</v>
      </c>
      <c r="BB16" s="25">
        <v>2095</v>
      </c>
      <c r="BC16" s="23">
        <v>2067</v>
      </c>
      <c r="BD16" s="23">
        <v>2067</v>
      </c>
      <c r="BE16" s="23">
        <v>2067</v>
      </c>
      <c r="BF16" s="23">
        <v>2067</v>
      </c>
      <c r="BG16" s="23">
        <v>2067</v>
      </c>
      <c r="BH16" s="23">
        <v>2067</v>
      </c>
      <c r="BI16" s="23">
        <v>2067</v>
      </c>
      <c r="BJ16" s="23">
        <v>2067</v>
      </c>
      <c r="BK16" s="23">
        <v>2067</v>
      </c>
      <c r="BL16" s="25">
        <v>2067</v>
      </c>
      <c r="BM16" s="23">
        <v>2055</v>
      </c>
      <c r="BN16" s="23">
        <v>2055</v>
      </c>
      <c r="BO16" s="23">
        <v>2055</v>
      </c>
      <c r="BP16" s="23">
        <v>2055</v>
      </c>
      <c r="BQ16" s="23">
        <v>2055</v>
      </c>
      <c r="BR16" s="23">
        <v>2055</v>
      </c>
      <c r="BS16" s="23">
        <v>2055</v>
      </c>
      <c r="BT16" s="23">
        <v>2055</v>
      </c>
      <c r="BU16" s="23">
        <v>2055</v>
      </c>
      <c r="BV16" s="23">
        <v>2055</v>
      </c>
      <c r="BW16" s="23">
        <v>2055</v>
      </c>
      <c r="BX16" s="25">
        <v>2055</v>
      </c>
      <c r="BY16" s="25">
        <v>2065</v>
      </c>
      <c r="BZ16" s="25">
        <v>2078</v>
      </c>
      <c r="CA16" s="23"/>
      <c r="CB16" s="23"/>
      <c r="CC16" s="26"/>
      <c r="CD16" s="27"/>
      <c r="CE16" s="27"/>
      <c r="CF16" s="27"/>
      <c r="CG16" s="27"/>
      <c r="CH16" s="27"/>
    </row>
    <row r="17" spans="1:86" x14ac:dyDescent="0.25">
      <c r="A17" s="20">
        <v>10</v>
      </c>
      <c r="B17" s="21"/>
      <c r="C17" s="23" t="s">
        <v>58</v>
      </c>
      <c r="D17" s="23" t="s">
        <v>59</v>
      </c>
      <c r="E17" s="23"/>
      <c r="F17" s="23" t="s">
        <v>27</v>
      </c>
      <c r="G17" s="24" t="s">
        <v>60</v>
      </c>
      <c r="H17" s="24" t="s">
        <v>61</v>
      </c>
      <c r="I17" s="24"/>
      <c r="J17" s="24"/>
      <c r="K17" s="24"/>
      <c r="L17" s="24"/>
      <c r="M17" s="24"/>
      <c r="N17" s="24">
        <v>618010</v>
      </c>
      <c r="O17" s="24">
        <v>92193</v>
      </c>
      <c r="P17" s="23">
        <v>3438</v>
      </c>
      <c r="Q17" s="23"/>
      <c r="R17" s="23"/>
      <c r="S17" s="23">
        <v>2141</v>
      </c>
      <c r="T17" s="23">
        <v>2141</v>
      </c>
      <c r="U17" s="23">
        <v>2141</v>
      </c>
      <c r="V17" s="23">
        <v>2141</v>
      </c>
      <c r="W17" s="23">
        <v>2141</v>
      </c>
      <c r="X17" s="23">
        <v>2141</v>
      </c>
      <c r="Y17" s="23">
        <v>2141</v>
      </c>
      <c r="Z17" s="23">
        <v>2141</v>
      </c>
      <c r="AA17" s="23">
        <v>2141</v>
      </c>
      <c r="AB17" s="23">
        <v>2141</v>
      </c>
      <c r="AC17" s="23">
        <v>2141</v>
      </c>
      <c r="AD17" s="147">
        <v>2141</v>
      </c>
      <c r="AE17" s="23">
        <v>2141</v>
      </c>
      <c r="AF17" s="23">
        <v>2141</v>
      </c>
      <c r="AG17" s="23">
        <v>2141</v>
      </c>
      <c r="AH17" s="23">
        <v>2141</v>
      </c>
      <c r="AI17" s="23">
        <v>2141</v>
      </c>
      <c r="AJ17" s="23">
        <v>2141</v>
      </c>
      <c r="AK17" s="23">
        <v>2141</v>
      </c>
      <c r="AL17" s="23">
        <v>2141</v>
      </c>
      <c r="AM17" s="23">
        <v>2141</v>
      </c>
      <c r="AN17" s="23">
        <v>2141</v>
      </c>
      <c r="AO17" s="23">
        <v>2141</v>
      </c>
      <c r="AP17" s="23">
        <v>2141</v>
      </c>
      <c r="AQ17" s="23">
        <v>2141</v>
      </c>
      <c r="AR17" s="23">
        <v>2141</v>
      </c>
      <c r="AS17" s="23">
        <v>2141</v>
      </c>
      <c r="AT17" s="23">
        <v>2141</v>
      </c>
      <c r="AU17" s="23">
        <v>2141</v>
      </c>
      <c r="AV17" s="23">
        <v>2141</v>
      </c>
      <c r="AW17" s="23">
        <v>2141</v>
      </c>
      <c r="AX17" s="23">
        <v>2141</v>
      </c>
      <c r="AY17" s="23">
        <v>2141</v>
      </c>
      <c r="AZ17" s="23">
        <v>2141</v>
      </c>
      <c r="BA17" s="23">
        <v>2141</v>
      </c>
      <c r="BB17" s="23">
        <v>2141</v>
      </c>
      <c r="BC17" s="23">
        <v>2141</v>
      </c>
      <c r="BD17" s="23">
        <v>2141</v>
      </c>
      <c r="BE17" s="23">
        <v>2141</v>
      </c>
      <c r="BF17" s="25">
        <v>2141</v>
      </c>
      <c r="BG17" s="23">
        <v>2060</v>
      </c>
      <c r="BH17" s="23">
        <v>2060</v>
      </c>
      <c r="BI17" s="23">
        <v>2060</v>
      </c>
      <c r="BJ17" s="31">
        <v>2060</v>
      </c>
      <c r="BK17" s="23">
        <v>2104</v>
      </c>
      <c r="BL17" s="23">
        <v>2104</v>
      </c>
      <c r="BM17" s="23">
        <v>2104</v>
      </c>
      <c r="BN17" s="23">
        <v>2104</v>
      </c>
      <c r="BO17" s="23">
        <v>2104</v>
      </c>
      <c r="BP17" s="23">
        <v>2104</v>
      </c>
      <c r="BQ17" s="25">
        <v>2104</v>
      </c>
      <c r="BR17" s="23">
        <v>2090</v>
      </c>
      <c r="BS17" s="23">
        <v>2090</v>
      </c>
      <c r="BT17" s="23">
        <v>2090</v>
      </c>
      <c r="BU17" s="23">
        <v>2090</v>
      </c>
      <c r="BV17" s="23">
        <v>2090</v>
      </c>
      <c r="BW17" s="23">
        <v>2090</v>
      </c>
      <c r="BX17" s="23">
        <v>2090</v>
      </c>
      <c r="BY17" s="23">
        <v>2090</v>
      </c>
      <c r="BZ17" s="25">
        <v>2090</v>
      </c>
      <c r="CA17" s="23">
        <v>2029</v>
      </c>
      <c r="CB17" s="25">
        <v>2029</v>
      </c>
      <c r="CC17" s="26">
        <v>2028</v>
      </c>
      <c r="CD17" s="27">
        <v>2028</v>
      </c>
      <c r="CE17" s="27">
        <v>2002</v>
      </c>
      <c r="CF17" s="27">
        <v>2030</v>
      </c>
      <c r="CG17" s="27">
        <v>14</v>
      </c>
      <c r="CH17" s="27">
        <v>20</v>
      </c>
    </row>
    <row r="18" spans="1:86" x14ac:dyDescent="0.25">
      <c r="A18" s="20">
        <v>11</v>
      </c>
      <c r="B18" s="21"/>
      <c r="C18" s="23" t="s">
        <v>62</v>
      </c>
      <c r="D18" s="23" t="s">
        <v>63</v>
      </c>
      <c r="E18" s="23"/>
      <c r="F18" s="23" t="s">
        <v>27</v>
      </c>
      <c r="G18" s="35" t="s">
        <v>64</v>
      </c>
      <c r="H18" s="24">
        <v>430705165</v>
      </c>
      <c r="I18" s="24"/>
      <c r="J18" s="24"/>
      <c r="K18" s="24"/>
      <c r="L18" s="24"/>
      <c r="M18" s="24"/>
      <c r="N18" s="24">
        <v>617994</v>
      </c>
      <c r="O18" s="24">
        <v>92202</v>
      </c>
      <c r="P18" s="23">
        <v>3456</v>
      </c>
      <c r="Q18" s="23"/>
      <c r="R18" s="23"/>
      <c r="S18" s="23">
        <v>2056</v>
      </c>
      <c r="T18" s="23">
        <v>2056</v>
      </c>
      <c r="U18" s="23">
        <v>2056</v>
      </c>
      <c r="V18" s="23">
        <v>2056</v>
      </c>
      <c r="W18" s="23">
        <v>2056</v>
      </c>
      <c r="X18" s="23">
        <v>2056</v>
      </c>
      <c r="Y18" s="23">
        <v>2056</v>
      </c>
      <c r="Z18" s="23">
        <v>2056</v>
      </c>
      <c r="AA18" s="23">
        <v>2056</v>
      </c>
      <c r="AB18" s="23">
        <v>2056</v>
      </c>
      <c r="AC18" s="23">
        <v>2056</v>
      </c>
      <c r="AD18" s="147">
        <v>2056</v>
      </c>
      <c r="AE18" s="23">
        <v>2056</v>
      </c>
      <c r="AF18" s="23">
        <v>2056</v>
      </c>
      <c r="AG18" s="23">
        <v>2056</v>
      </c>
      <c r="AH18" s="23">
        <v>2056</v>
      </c>
      <c r="AI18" s="23">
        <v>2056</v>
      </c>
      <c r="AJ18" s="23">
        <v>2056</v>
      </c>
      <c r="AK18" s="23">
        <v>2056</v>
      </c>
      <c r="AL18" s="23">
        <v>2056</v>
      </c>
      <c r="AM18" s="23">
        <v>2056</v>
      </c>
      <c r="AN18" s="23">
        <v>2056</v>
      </c>
      <c r="AO18" s="23">
        <v>2056</v>
      </c>
      <c r="AP18" s="29">
        <v>2056</v>
      </c>
      <c r="AQ18" s="23">
        <v>2096</v>
      </c>
      <c r="AR18" s="23">
        <v>2096</v>
      </c>
      <c r="AS18" s="23">
        <v>2096</v>
      </c>
      <c r="AT18" s="23">
        <v>2096</v>
      </c>
      <c r="AU18" s="25">
        <v>2096</v>
      </c>
      <c r="AV18" s="23">
        <v>2113</v>
      </c>
      <c r="AW18" s="23">
        <v>2113</v>
      </c>
      <c r="AX18" s="23">
        <v>2113</v>
      </c>
      <c r="AY18" s="23">
        <v>2113</v>
      </c>
      <c r="AZ18" s="23">
        <v>2113</v>
      </c>
      <c r="BA18" s="23">
        <v>2113</v>
      </c>
      <c r="BB18" s="23">
        <v>2113</v>
      </c>
      <c r="BC18" s="23">
        <v>2113</v>
      </c>
      <c r="BD18" s="23">
        <v>2113</v>
      </c>
      <c r="BE18" s="23">
        <v>2113</v>
      </c>
      <c r="BF18" s="25">
        <v>2113</v>
      </c>
      <c r="BG18" s="23">
        <v>2107</v>
      </c>
      <c r="BH18" s="23">
        <v>2107</v>
      </c>
      <c r="BI18" s="23">
        <v>2107</v>
      </c>
      <c r="BJ18" s="23">
        <v>2107</v>
      </c>
      <c r="BK18" s="23">
        <v>2107</v>
      </c>
      <c r="BL18" s="25">
        <v>2107</v>
      </c>
      <c r="BM18" s="23">
        <v>2084</v>
      </c>
      <c r="BN18" s="23">
        <v>2084</v>
      </c>
      <c r="BO18" s="23">
        <v>2084</v>
      </c>
      <c r="BP18" s="23">
        <v>2084</v>
      </c>
      <c r="BQ18" s="23">
        <v>2084</v>
      </c>
      <c r="BR18" s="23">
        <v>2084</v>
      </c>
      <c r="BS18" s="23">
        <v>2084</v>
      </c>
      <c r="BT18" s="23">
        <v>2084</v>
      </c>
      <c r="BU18" s="23">
        <v>2084</v>
      </c>
      <c r="BV18" s="23">
        <v>2084</v>
      </c>
      <c r="BW18" s="23">
        <v>2084</v>
      </c>
      <c r="BX18" s="23">
        <v>2084</v>
      </c>
      <c r="BY18" s="23">
        <v>2084</v>
      </c>
      <c r="BZ18" s="25">
        <v>2084</v>
      </c>
      <c r="CA18" s="23">
        <v>2036</v>
      </c>
      <c r="CB18" s="25">
        <v>2036</v>
      </c>
      <c r="CC18" s="26">
        <v>2022</v>
      </c>
      <c r="CD18" s="27">
        <v>2022</v>
      </c>
      <c r="CE18" s="27">
        <v>2004</v>
      </c>
      <c r="CF18" s="27">
        <v>2029</v>
      </c>
      <c r="CG18" s="27">
        <v>11</v>
      </c>
      <c r="CH18" s="27">
        <v>26</v>
      </c>
    </row>
    <row r="19" spans="1:86" x14ac:dyDescent="0.25">
      <c r="A19" s="21">
        <v>12</v>
      </c>
      <c r="B19" s="21"/>
      <c r="C19" s="23" t="s">
        <v>65</v>
      </c>
      <c r="D19" s="23" t="s">
        <v>66</v>
      </c>
      <c r="E19" s="22"/>
      <c r="F19" s="23" t="s">
        <v>27</v>
      </c>
      <c r="G19" s="24" t="s">
        <v>60</v>
      </c>
      <c r="H19" s="24" t="s">
        <v>67</v>
      </c>
      <c r="I19" s="24"/>
      <c r="J19" s="24"/>
      <c r="K19" s="24"/>
      <c r="L19" s="24"/>
      <c r="M19" s="24"/>
      <c r="N19" s="24">
        <v>618020</v>
      </c>
      <c r="O19" s="24">
        <v>92203</v>
      </c>
      <c r="P19" s="24">
        <v>3463</v>
      </c>
      <c r="Q19" s="23"/>
      <c r="R19" s="24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 t="s">
        <v>68</v>
      </c>
      <c r="AT19" s="23">
        <v>2083</v>
      </c>
      <c r="AU19" s="23">
        <v>2083</v>
      </c>
      <c r="AV19" s="23">
        <v>2083</v>
      </c>
      <c r="AW19" s="23">
        <v>2083</v>
      </c>
      <c r="AX19" s="23">
        <v>2083</v>
      </c>
      <c r="AY19" s="23">
        <v>2083</v>
      </c>
      <c r="AZ19" s="23">
        <v>2083</v>
      </c>
      <c r="BA19" s="23">
        <v>2083</v>
      </c>
      <c r="BB19" s="25">
        <v>2083</v>
      </c>
      <c r="BC19" s="23">
        <v>2091</v>
      </c>
      <c r="BD19" s="23">
        <v>2091</v>
      </c>
      <c r="BE19" s="23">
        <v>2091</v>
      </c>
      <c r="BF19" s="25">
        <v>2091</v>
      </c>
      <c r="BG19" s="24">
        <v>2127</v>
      </c>
      <c r="BH19" s="24">
        <v>2127</v>
      </c>
      <c r="BI19" s="24">
        <v>2127</v>
      </c>
      <c r="BJ19" s="31">
        <v>2127</v>
      </c>
      <c r="BK19" s="23">
        <v>2126</v>
      </c>
      <c r="BL19" s="25">
        <v>2126</v>
      </c>
      <c r="BM19" s="23">
        <v>2059</v>
      </c>
      <c r="BN19" s="23">
        <v>2059</v>
      </c>
      <c r="BO19" s="23">
        <v>2059</v>
      </c>
      <c r="BP19" s="23">
        <v>2059</v>
      </c>
      <c r="BQ19" s="23">
        <v>2059</v>
      </c>
      <c r="BR19" s="23">
        <v>2059</v>
      </c>
      <c r="BS19" s="23">
        <v>2059</v>
      </c>
      <c r="BT19" s="23">
        <v>2059</v>
      </c>
      <c r="BU19" s="23">
        <v>2059</v>
      </c>
      <c r="BV19" s="23">
        <v>2059</v>
      </c>
      <c r="BW19" s="23">
        <v>2059</v>
      </c>
      <c r="BX19" s="23">
        <v>2059</v>
      </c>
      <c r="BY19" s="23">
        <v>2059</v>
      </c>
      <c r="BZ19" s="25">
        <v>2059</v>
      </c>
      <c r="CA19" s="23">
        <v>2018</v>
      </c>
      <c r="CB19" s="25">
        <v>2018</v>
      </c>
      <c r="CC19" s="27">
        <v>2020</v>
      </c>
      <c r="CD19" s="27">
        <v>2024</v>
      </c>
      <c r="CE19" s="27">
        <v>2010</v>
      </c>
      <c r="CF19" s="27">
        <v>2032</v>
      </c>
      <c r="CG19" s="27">
        <v>12</v>
      </c>
      <c r="CH19" s="27">
        <v>21</v>
      </c>
    </row>
    <row r="20" spans="1:86" x14ac:dyDescent="0.25">
      <c r="A20" s="21">
        <v>13</v>
      </c>
      <c r="B20" s="21"/>
      <c r="C20" s="23" t="s">
        <v>69</v>
      </c>
      <c r="D20" s="23" t="s">
        <v>70</v>
      </c>
      <c r="E20" s="23"/>
      <c r="F20" s="23" t="s">
        <v>27</v>
      </c>
      <c r="G20" s="24" t="s">
        <v>71</v>
      </c>
      <c r="H20" s="23"/>
      <c r="I20" s="24"/>
      <c r="J20" s="24"/>
      <c r="K20" s="24"/>
      <c r="L20" s="24"/>
      <c r="M20" s="24"/>
      <c r="N20" s="24">
        <v>617972</v>
      </c>
      <c r="O20" s="24">
        <v>92184</v>
      </c>
      <c r="P20" s="23">
        <v>3475</v>
      </c>
      <c r="BI20" s="23" t="s">
        <v>68</v>
      </c>
      <c r="BJ20" s="23">
        <v>2140</v>
      </c>
      <c r="BK20" s="23">
        <v>2140</v>
      </c>
      <c r="BL20" s="25">
        <v>2140</v>
      </c>
      <c r="BM20" s="23">
        <v>2069</v>
      </c>
      <c r="BN20" s="23">
        <v>2069</v>
      </c>
      <c r="BO20" s="23">
        <v>2069</v>
      </c>
      <c r="BP20" s="23">
        <v>2069</v>
      </c>
      <c r="BQ20" s="23">
        <v>2069</v>
      </c>
      <c r="BR20" s="23">
        <v>2069</v>
      </c>
      <c r="BS20" s="23">
        <v>2069</v>
      </c>
      <c r="BT20" s="23">
        <v>2069</v>
      </c>
      <c r="BU20" s="23">
        <v>2069</v>
      </c>
      <c r="BV20" s="23">
        <v>2069</v>
      </c>
      <c r="BW20" s="23">
        <v>2069</v>
      </c>
      <c r="BX20" s="23">
        <v>2069</v>
      </c>
      <c r="BY20" s="23">
        <v>2069</v>
      </c>
      <c r="BZ20" s="25">
        <v>2069</v>
      </c>
      <c r="CA20" s="23">
        <v>2028</v>
      </c>
      <c r="CB20" s="25">
        <v>2028</v>
      </c>
      <c r="CC20" s="26">
        <v>2030</v>
      </c>
      <c r="CD20" s="27">
        <v>2030</v>
      </c>
      <c r="CE20" s="27">
        <v>2011</v>
      </c>
      <c r="CF20" s="27">
        <v>2034</v>
      </c>
      <c r="CG20" s="27">
        <v>15</v>
      </c>
      <c r="CH20" s="27">
        <v>30</v>
      </c>
    </row>
    <row r="21" spans="1:86" x14ac:dyDescent="0.25">
      <c r="A21" s="20">
        <v>14</v>
      </c>
      <c r="B21" s="21"/>
      <c r="C21" s="26" t="s">
        <v>72</v>
      </c>
      <c r="D21" s="26"/>
      <c r="E21" s="23"/>
      <c r="F21" s="23" t="s">
        <v>27</v>
      </c>
      <c r="G21" s="35"/>
      <c r="H21" s="26"/>
      <c r="I21" s="26" t="s">
        <v>73</v>
      </c>
      <c r="J21" s="26" t="s">
        <v>74</v>
      </c>
      <c r="K21" s="26"/>
      <c r="L21" s="26"/>
      <c r="M21" s="26"/>
      <c r="N21" s="36">
        <v>618012</v>
      </c>
      <c r="O21" s="36">
        <v>92199</v>
      </c>
      <c r="P21" s="24">
        <v>3451</v>
      </c>
      <c r="Q21" s="165"/>
      <c r="R21" s="153"/>
      <c r="S21" s="165" t="s">
        <v>361</v>
      </c>
      <c r="T21" s="37"/>
      <c r="U21" s="37"/>
      <c r="V21" s="37" t="s">
        <v>68</v>
      </c>
      <c r="W21" s="37">
        <v>2006</v>
      </c>
      <c r="X21" s="37">
        <v>2006</v>
      </c>
      <c r="Y21" s="37">
        <v>2006</v>
      </c>
      <c r="Z21" s="37">
        <v>2006</v>
      </c>
      <c r="AA21" s="37">
        <v>2006</v>
      </c>
      <c r="AB21" s="37">
        <v>2006</v>
      </c>
      <c r="AC21" s="37">
        <v>2006</v>
      </c>
      <c r="AD21" s="146">
        <v>2006</v>
      </c>
      <c r="AE21" s="37">
        <v>2006</v>
      </c>
      <c r="AF21" s="37">
        <v>2006</v>
      </c>
      <c r="AG21" s="37">
        <v>2006</v>
      </c>
      <c r="AH21" s="37">
        <v>2006</v>
      </c>
      <c r="AI21" s="37">
        <v>2006</v>
      </c>
      <c r="AJ21" s="37">
        <v>2006</v>
      </c>
      <c r="AK21" s="37">
        <v>2006</v>
      </c>
      <c r="AL21" s="37">
        <v>2006</v>
      </c>
      <c r="AM21" s="37">
        <v>2006</v>
      </c>
      <c r="AN21" s="37">
        <v>2006</v>
      </c>
      <c r="AO21" s="37">
        <v>2006</v>
      </c>
      <c r="AP21" s="37">
        <v>2006</v>
      </c>
      <c r="AQ21" s="37">
        <v>2006</v>
      </c>
      <c r="AR21" s="37">
        <v>2006</v>
      </c>
      <c r="AS21" s="37">
        <v>2006</v>
      </c>
      <c r="AT21" s="38">
        <v>2006</v>
      </c>
      <c r="AU21" s="37">
        <v>2021</v>
      </c>
      <c r="AV21" s="37">
        <v>2021</v>
      </c>
      <c r="AW21" s="37">
        <v>2021</v>
      </c>
      <c r="AX21" s="37">
        <v>2021</v>
      </c>
      <c r="AY21" s="37">
        <v>2021</v>
      </c>
      <c r="AZ21" s="37">
        <v>2021</v>
      </c>
      <c r="BA21" s="37">
        <v>2021</v>
      </c>
      <c r="BB21" s="39">
        <v>2021</v>
      </c>
      <c r="BC21" s="24" t="s">
        <v>68</v>
      </c>
      <c r="BD21" s="24">
        <v>2020</v>
      </c>
      <c r="BE21" s="24">
        <v>2020</v>
      </c>
      <c r="BF21" s="40">
        <v>2020</v>
      </c>
      <c r="BG21" s="24">
        <v>2020</v>
      </c>
      <c r="BH21" s="24">
        <v>2020</v>
      </c>
      <c r="BI21" s="24">
        <v>2020</v>
      </c>
      <c r="BJ21" s="23">
        <v>2020</v>
      </c>
      <c r="BK21" s="23">
        <v>2020</v>
      </c>
      <c r="BL21" s="23">
        <v>2020</v>
      </c>
      <c r="BM21" s="23">
        <v>2020</v>
      </c>
      <c r="BN21" s="23">
        <v>2020</v>
      </c>
      <c r="BO21" s="23">
        <v>2020</v>
      </c>
      <c r="BP21" s="23">
        <v>2020</v>
      </c>
      <c r="BQ21" s="23">
        <v>2020</v>
      </c>
      <c r="BR21" s="23">
        <v>2020</v>
      </c>
      <c r="BS21" s="23">
        <v>2020</v>
      </c>
      <c r="BT21" s="23">
        <v>2020</v>
      </c>
      <c r="BU21" s="23">
        <v>2020</v>
      </c>
      <c r="BV21" s="23">
        <v>2020</v>
      </c>
      <c r="BW21" s="23">
        <v>2020</v>
      </c>
      <c r="BX21" s="23">
        <v>2020</v>
      </c>
      <c r="BY21" s="23">
        <v>2020</v>
      </c>
      <c r="BZ21" s="25">
        <v>2020</v>
      </c>
      <c r="CA21" s="23">
        <v>2042</v>
      </c>
      <c r="CB21" s="25">
        <v>2042</v>
      </c>
      <c r="CC21" s="26">
        <v>2040</v>
      </c>
      <c r="CD21" s="27">
        <v>2040</v>
      </c>
      <c r="CE21" s="26">
        <v>2016</v>
      </c>
      <c r="CF21" s="27">
        <v>2016</v>
      </c>
      <c r="CG21" s="23" t="s">
        <v>1</v>
      </c>
      <c r="CH21" s="23" t="s">
        <v>1</v>
      </c>
    </row>
    <row r="22" spans="1:86" x14ac:dyDescent="0.25">
      <c r="A22" s="20">
        <v>15</v>
      </c>
      <c r="B22" s="21"/>
      <c r="C22" s="26" t="s">
        <v>75</v>
      </c>
      <c r="D22" s="26" t="s">
        <v>76</v>
      </c>
      <c r="E22" s="23"/>
      <c r="F22" s="23" t="s">
        <v>27</v>
      </c>
      <c r="G22" s="26" t="s">
        <v>77</v>
      </c>
      <c r="H22" s="26"/>
      <c r="I22" s="26"/>
      <c r="J22" s="26"/>
      <c r="K22" s="26"/>
      <c r="L22" s="26"/>
      <c r="M22" s="26"/>
      <c r="N22" s="24">
        <v>618016</v>
      </c>
      <c r="O22" s="24">
        <v>92199</v>
      </c>
      <c r="P22" s="24">
        <v>3399</v>
      </c>
      <c r="Q22" s="41"/>
      <c r="R22" s="168"/>
      <c r="S22" s="41">
        <v>2126</v>
      </c>
      <c r="T22" s="41">
        <v>2126</v>
      </c>
      <c r="U22" s="41">
        <v>2126</v>
      </c>
      <c r="V22" s="41">
        <v>2126</v>
      </c>
      <c r="W22" s="41">
        <v>2126</v>
      </c>
      <c r="X22" s="41">
        <v>2126</v>
      </c>
      <c r="Y22" s="41">
        <v>2126</v>
      </c>
      <c r="Z22" s="41">
        <v>2126</v>
      </c>
      <c r="AA22" s="41">
        <v>2126</v>
      </c>
      <c r="AB22" s="41">
        <v>2126</v>
      </c>
      <c r="AC22" s="41">
        <v>2126</v>
      </c>
      <c r="AD22" s="140">
        <v>2126</v>
      </c>
      <c r="AE22" s="41">
        <v>2126</v>
      </c>
      <c r="AF22" s="41">
        <v>2126</v>
      </c>
      <c r="AG22" s="41">
        <v>2126</v>
      </c>
      <c r="AH22" s="41">
        <v>2126</v>
      </c>
      <c r="AI22" s="41">
        <v>2126</v>
      </c>
      <c r="AJ22" s="41">
        <v>2126</v>
      </c>
      <c r="AK22" s="41">
        <v>2126</v>
      </c>
      <c r="AL22" s="41">
        <v>2126</v>
      </c>
      <c r="AM22" s="41">
        <v>2126</v>
      </c>
      <c r="AN22" s="41">
        <v>2126</v>
      </c>
      <c r="AO22" s="41">
        <v>2126</v>
      </c>
      <c r="AP22" s="41">
        <v>2126</v>
      </c>
      <c r="AQ22" s="41">
        <v>2126</v>
      </c>
      <c r="AR22" s="41">
        <v>2126</v>
      </c>
      <c r="AS22" s="41">
        <v>2126</v>
      </c>
      <c r="AT22" s="41">
        <v>2126</v>
      </c>
      <c r="AU22" s="41">
        <v>2126</v>
      </c>
      <c r="AV22" s="42">
        <v>2126</v>
      </c>
      <c r="AW22" s="41">
        <v>2126</v>
      </c>
      <c r="AX22" s="41">
        <v>2126</v>
      </c>
      <c r="AY22" s="41">
        <v>2126</v>
      </c>
      <c r="AZ22" s="41">
        <v>2126</v>
      </c>
      <c r="BA22" s="41">
        <v>2126</v>
      </c>
      <c r="BB22" s="42">
        <v>2126</v>
      </c>
      <c r="BC22" s="43"/>
      <c r="BE22" s="43"/>
      <c r="BF22" s="43"/>
      <c r="BG22" s="43"/>
      <c r="BH22" s="4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5">
        <v>2030</v>
      </c>
      <c r="CB22" s="25">
        <v>2033</v>
      </c>
      <c r="CC22" s="27">
        <v>2041</v>
      </c>
      <c r="CD22" s="27">
        <v>2034</v>
      </c>
      <c r="CE22" s="26">
        <v>2020</v>
      </c>
      <c r="CF22" s="27">
        <v>2020</v>
      </c>
      <c r="CG22" s="23" t="s">
        <v>1</v>
      </c>
      <c r="CH22" s="23" t="s">
        <v>1</v>
      </c>
    </row>
    <row r="23" spans="1:86" x14ac:dyDescent="0.25">
      <c r="A23" s="20">
        <v>16</v>
      </c>
      <c r="B23" s="21"/>
      <c r="C23" s="26" t="s">
        <v>78</v>
      </c>
      <c r="D23" s="26" t="s">
        <v>76</v>
      </c>
      <c r="E23" s="23"/>
      <c r="F23" s="23" t="s">
        <v>27</v>
      </c>
      <c r="G23" s="26" t="s">
        <v>79</v>
      </c>
      <c r="H23" s="26"/>
      <c r="I23" s="26"/>
      <c r="J23" s="26"/>
      <c r="K23" s="26"/>
      <c r="L23" s="26"/>
      <c r="M23" s="26"/>
      <c r="N23" s="24">
        <v>618017</v>
      </c>
      <c r="O23" s="24">
        <v>92198</v>
      </c>
      <c r="P23" s="24">
        <v>3399</v>
      </c>
      <c r="Q23" s="41"/>
      <c r="R23" s="168"/>
      <c r="S23" s="41">
        <v>2127</v>
      </c>
      <c r="T23" s="41">
        <v>2127</v>
      </c>
      <c r="U23" s="41">
        <v>2127</v>
      </c>
      <c r="V23" s="41">
        <v>2127</v>
      </c>
      <c r="W23" s="41">
        <v>2127</v>
      </c>
      <c r="X23" s="41">
        <v>2127</v>
      </c>
      <c r="Y23" s="41">
        <v>2127</v>
      </c>
      <c r="Z23" s="41">
        <v>2127</v>
      </c>
      <c r="AA23" s="41">
        <v>2127</v>
      </c>
      <c r="AB23" s="41">
        <v>2127</v>
      </c>
      <c r="AC23" s="41">
        <v>2127</v>
      </c>
      <c r="AD23" s="140">
        <v>2127</v>
      </c>
      <c r="AE23" s="41">
        <v>2127</v>
      </c>
      <c r="AF23" s="41">
        <v>2127</v>
      </c>
      <c r="AG23" s="41">
        <v>2127</v>
      </c>
      <c r="AH23" s="41">
        <v>2127</v>
      </c>
      <c r="AI23" s="41">
        <v>2127</v>
      </c>
      <c r="AJ23" s="41">
        <v>2127</v>
      </c>
      <c r="AK23" s="41">
        <v>2127</v>
      </c>
      <c r="AL23" s="41">
        <v>2127</v>
      </c>
      <c r="AM23" s="41">
        <v>2127</v>
      </c>
      <c r="AN23" s="41">
        <v>2127</v>
      </c>
      <c r="AO23" s="41">
        <v>2127</v>
      </c>
      <c r="AP23" s="41">
        <v>2127</v>
      </c>
      <c r="AQ23" s="41">
        <v>2127</v>
      </c>
      <c r="AR23" s="41">
        <v>2127</v>
      </c>
      <c r="AS23" s="41">
        <v>2127</v>
      </c>
      <c r="AT23" s="41">
        <v>2127</v>
      </c>
      <c r="AU23" s="41">
        <v>2127</v>
      </c>
      <c r="AV23" s="41">
        <v>2127</v>
      </c>
      <c r="AW23" s="41">
        <v>2127</v>
      </c>
      <c r="AX23" s="41">
        <v>2127</v>
      </c>
      <c r="AY23" s="41">
        <v>2127</v>
      </c>
      <c r="AZ23" s="41">
        <v>2127</v>
      </c>
      <c r="BA23" s="41">
        <v>2127</v>
      </c>
      <c r="BB23" s="42">
        <v>2127</v>
      </c>
      <c r="BC23" s="43"/>
      <c r="BD23" s="43"/>
      <c r="BE23" s="43"/>
      <c r="BF23" s="43"/>
      <c r="BG23" s="43"/>
      <c r="BH23" s="4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5">
        <v>2056</v>
      </c>
      <c r="BY23" s="23">
        <v>2066</v>
      </c>
      <c r="BZ23" s="25">
        <v>2066</v>
      </c>
      <c r="CA23" s="23">
        <v>2034</v>
      </c>
      <c r="CB23" s="25">
        <v>2034</v>
      </c>
      <c r="CC23" s="27">
        <v>2017</v>
      </c>
      <c r="CD23" s="27">
        <v>2035</v>
      </c>
      <c r="CE23" s="26">
        <v>2031</v>
      </c>
      <c r="CF23" s="27">
        <v>2031</v>
      </c>
      <c r="CG23" s="23" t="s">
        <v>1</v>
      </c>
      <c r="CH23" s="23" t="s">
        <v>1</v>
      </c>
    </row>
    <row r="24" spans="1:86" ht="12.75" customHeight="1" x14ac:dyDescent="0.25">
      <c r="A24" s="158">
        <v>17</v>
      </c>
      <c r="B24" s="21"/>
      <c r="C24" s="26" t="s">
        <v>267</v>
      </c>
      <c r="D24" s="26"/>
      <c r="E24" s="23"/>
      <c r="F24" s="23" t="s">
        <v>27</v>
      </c>
      <c r="G24" s="26"/>
      <c r="H24" s="26"/>
      <c r="I24" s="26"/>
      <c r="J24" s="26"/>
      <c r="K24" s="26"/>
      <c r="L24" s="26"/>
      <c r="M24" s="26"/>
      <c r="N24" s="24">
        <v>617905</v>
      </c>
      <c r="O24" s="24">
        <v>92150</v>
      </c>
      <c r="P24" s="24">
        <v>3555</v>
      </c>
      <c r="Q24" s="23"/>
      <c r="R24" s="24"/>
      <c r="S24" s="23">
        <v>2113</v>
      </c>
      <c r="T24" s="23">
        <v>2113</v>
      </c>
      <c r="U24" s="23">
        <v>2113</v>
      </c>
      <c r="V24" s="23">
        <v>2113</v>
      </c>
      <c r="W24" s="23">
        <v>2113</v>
      </c>
      <c r="X24" s="23">
        <v>2113</v>
      </c>
      <c r="Y24" s="23">
        <v>2113</v>
      </c>
      <c r="Z24" s="23">
        <v>2113</v>
      </c>
      <c r="AA24" s="23">
        <v>2113</v>
      </c>
      <c r="AB24" s="23">
        <v>2113</v>
      </c>
      <c r="AC24" s="23">
        <v>2113</v>
      </c>
      <c r="AD24" s="138">
        <v>2113</v>
      </c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 t="s">
        <v>68</v>
      </c>
      <c r="BA24" s="23">
        <v>2062</v>
      </c>
      <c r="BB24" s="23">
        <v>2062</v>
      </c>
      <c r="BC24" s="23">
        <v>2062</v>
      </c>
      <c r="BD24" s="23">
        <v>2062</v>
      </c>
      <c r="BE24" s="23">
        <v>2062</v>
      </c>
      <c r="BF24" s="25">
        <v>2062</v>
      </c>
      <c r="BG24" s="23">
        <v>2073</v>
      </c>
      <c r="BH24" s="23">
        <v>2073</v>
      </c>
      <c r="BI24" s="23">
        <v>2073</v>
      </c>
      <c r="BJ24" s="23">
        <v>2073</v>
      </c>
      <c r="BK24" s="31">
        <v>2073</v>
      </c>
      <c r="BL24" s="25">
        <v>2119</v>
      </c>
      <c r="BM24" s="23">
        <v>2089</v>
      </c>
      <c r="BN24" s="23">
        <v>2089</v>
      </c>
      <c r="BO24" s="23">
        <v>2089</v>
      </c>
      <c r="BP24" s="23">
        <v>2089</v>
      </c>
      <c r="BQ24" s="23">
        <v>2089</v>
      </c>
      <c r="BR24" s="23">
        <v>2089</v>
      </c>
      <c r="BS24" s="23">
        <v>2089</v>
      </c>
      <c r="BT24" s="23">
        <v>2089</v>
      </c>
      <c r="BU24" s="23">
        <v>2089</v>
      </c>
      <c r="BV24" s="23">
        <v>2089</v>
      </c>
      <c r="BW24" s="23">
        <v>2089</v>
      </c>
      <c r="BX24" s="23">
        <v>2089</v>
      </c>
      <c r="BY24" s="23">
        <v>2089</v>
      </c>
      <c r="BZ24" s="25">
        <v>2089</v>
      </c>
      <c r="CA24" s="25">
        <v>2033</v>
      </c>
      <c r="CB24" s="23"/>
      <c r="CC24" s="27">
        <v>2038</v>
      </c>
      <c r="CD24" s="26"/>
      <c r="CE24" s="26"/>
      <c r="CF24" s="26"/>
      <c r="CG24" s="23"/>
      <c r="CH24" s="23"/>
    </row>
    <row r="25" spans="1:86" x14ac:dyDescent="0.25">
      <c r="A25" s="20">
        <v>18</v>
      </c>
      <c r="B25" s="21"/>
      <c r="C25" s="26" t="s">
        <v>80</v>
      </c>
      <c r="D25" s="26" t="s">
        <v>81</v>
      </c>
      <c r="E25" s="23"/>
      <c r="F25" s="23" t="s">
        <v>27</v>
      </c>
      <c r="G25" s="26" t="s">
        <v>82</v>
      </c>
      <c r="H25" s="26"/>
      <c r="I25" s="26"/>
      <c r="J25" s="26"/>
      <c r="K25" s="36">
        <v>150</v>
      </c>
      <c r="L25" s="26"/>
      <c r="M25" s="26"/>
      <c r="N25" s="24"/>
      <c r="O25" s="24"/>
      <c r="P25" s="24"/>
      <c r="Q25" s="23"/>
      <c r="R25" s="24"/>
      <c r="S25" s="23">
        <v>2134</v>
      </c>
      <c r="T25" s="23">
        <v>2134</v>
      </c>
      <c r="U25" s="23">
        <v>2134</v>
      </c>
      <c r="V25" s="23">
        <v>2134</v>
      </c>
      <c r="W25" s="23">
        <v>2134</v>
      </c>
      <c r="X25" s="23">
        <v>2134</v>
      </c>
      <c r="Y25" s="23">
        <v>2134</v>
      </c>
      <c r="Z25" s="23">
        <v>2134</v>
      </c>
      <c r="AA25" s="23">
        <v>2134</v>
      </c>
      <c r="AB25" s="23">
        <v>2134</v>
      </c>
      <c r="AC25" s="23">
        <v>2134</v>
      </c>
      <c r="AD25" s="147">
        <v>2134</v>
      </c>
      <c r="AE25" s="23">
        <v>2134</v>
      </c>
      <c r="AF25" s="23">
        <v>2134</v>
      </c>
      <c r="AG25" s="23">
        <v>2134</v>
      </c>
      <c r="AH25" s="23">
        <v>2134</v>
      </c>
      <c r="AI25" s="23">
        <v>2134</v>
      </c>
      <c r="AJ25" s="23">
        <v>2134</v>
      </c>
      <c r="AK25" s="23">
        <v>2134</v>
      </c>
      <c r="AL25" s="23">
        <v>2134</v>
      </c>
      <c r="AM25" s="23">
        <v>2134</v>
      </c>
      <c r="AN25" s="23">
        <v>2134</v>
      </c>
      <c r="AO25" s="23">
        <v>2134</v>
      </c>
      <c r="AP25" s="23">
        <v>2134</v>
      </c>
      <c r="AQ25" s="23">
        <v>2134</v>
      </c>
      <c r="AR25" s="23">
        <v>2134</v>
      </c>
      <c r="AS25" s="23">
        <v>2134</v>
      </c>
      <c r="AT25" s="25">
        <v>2134</v>
      </c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/>
      <c r="BS25" s="23"/>
      <c r="BT25" s="23" t="s">
        <v>68</v>
      </c>
      <c r="BU25" s="23">
        <v>2031</v>
      </c>
      <c r="BV25" s="23">
        <v>2031</v>
      </c>
      <c r="BW25" s="23">
        <v>2031</v>
      </c>
      <c r="BX25" s="23">
        <v>2031</v>
      </c>
      <c r="BY25" s="23">
        <v>2031</v>
      </c>
      <c r="BZ25" s="23">
        <v>2031</v>
      </c>
      <c r="CA25" s="23">
        <v>2031</v>
      </c>
      <c r="CB25" s="23">
        <v>2031</v>
      </c>
      <c r="CC25" s="27">
        <v>2031</v>
      </c>
      <c r="CD25" s="26"/>
      <c r="CE25" s="26"/>
      <c r="CF25" s="26"/>
      <c r="CG25" s="23"/>
      <c r="CH25" s="23"/>
    </row>
    <row r="26" spans="1:86" x14ac:dyDescent="0.25">
      <c r="A26" s="20">
        <v>19</v>
      </c>
      <c r="B26" s="21"/>
      <c r="C26" s="26" t="s">
        <v>301</v>
      </c>
      <c r="D26" s="26"/>
      <c r="E26" s="23" t="s">
        <v>84</v>
      </c>
      <c r="F26" s="3" t="s">
        <v>83</v>
      </c>
      <c r="G26" s="3" t="s">
        <v>85</v>
      </c>
      <c r="H26" s="26"/>
      <c r="I26" s="26"/>
      <c r="J26" s="26"/>
      <c r="K26" s="26"/>
      <c r="L26" s="26"/>
      <c r="M26" s="26"/>
      <c r="N26" s="24">
        <v>618015</v>
      </c>
      <c r="O26" s="24">
        <v>92202</v>
      </c>
      <c r="P26" s="24">
        <v>3451</v>
      </c>
      <c r="Q26" s="165"/>
      <c r="R26" s="153"/>
      <c r="S26" s="165" t="s">
        <v>361</v>
      </c>
      <c r="T26" s="24">
        <v>5015</v>
      </c>
      <c r="U26" s="24">
        <v>5015</v>
      </c>
      <c r="V26" s="24">
        <v>5015</v>
      </c>
      <c r="W26" s="24">
        <v>5015</v>
      </c>
      <c r="X26" s="24">
        <v>5015</v>
      </c>
      <c r="Y26" s="24">
        <v>5015</v>
      </c>
      <c r="Z26" s="24">
        <v>5015</v>
      </c>
      <c r="AA26" s="24">
        <v>5015</v>
      </c>
      <c r="AB26" s="24">
        <v>5015</v>
      </c>
      <c r="AC26" s="24">
        <v>5015</v>
      </c>
      <c r="AD26" s="150">
        <v>5015</v>
      </c>
      <c r="AE26" s="24">
        <v>5015</v>
      </c>
      <c r="AF26" s="24">
        <v>5015</v>
      </c>
      <c r="AG26" s="24">
        <v>5015</v>
      </c>
      <c r="AH26" s="24">
        <v>5015</v>
      </c>
      <c r="AI26" s="24">
        <v>5015</v>
      </c>
      <c r="AJ26" s="24">
        <v>5015</v>
      </c>
      <c r="AK26" s="24">
        <v>5015</v>
      </c>
      <c r="AL26" s="24">
        <v>5015</v>
      </c>
      <c r="AM26" s="24">
        <v>5015</v>
      </c>
      <c r="AN26" s="24">
        <v>5015</v>
      </c>
      <c r="AO26" s="24">
        <v>5015</v>
      </c>
      <c r="AP26" s="24">
        <v>5015</v>
      </c>
      <c r="AQ26" s="24">
        <v>5015</v>
      </c>
      <c r="AR26" s="24">
        <v>5015</v>
      </c>
      <c r="AS26" s="24">
        <v>5015</v>
      </c>
      <c r="AT26" s="24">
        <v>5015</v>
      </c>
      <c r="AU26" s="24">
        <v>5015</v>
      </c>
      <c r="AV26" s="24">
        <v>5015</v>
      </c>
      <c r="AW26" s="24">
        <v>5015</v>
      </c>
      <c r="AX26" s="24">
        <v>5015</v>
      </c>
      <c r="AY26" s="24">
        <v>5015</v>
      </c>
      <c r="AZ26" s="24">
        <v>5015</v>
      </c>
      <c r="BA26" s="24">
        <v>5015</v>
      </c>
      <c r="BB26" s="24">
        <v>5015</v>
      </c>
      <c r="BC26" s="24">
        <v>5015</v>
      </c>
      <c r="BD26" s="24">
        <v>5015</v>
      </c>
      <c r="BE26" s="24">
        <v>5015</v>
      </c>
      <c r="BF26" s="24">
        <v>5015</v>
      </c>
      <c r="BG26" s="24">
        <v>5015</v>
      </c>
      <c r="BH26" s="24">
        <v>5015</v>
      </c>
      <c r="BI26" s="24">
        <v>5015</v>
      </c>
      <c r="BJ26" s="24">
        <v>5015</v>
      </c>
      <c r="BK26" s="24">
        <v>5015</v>
      </c>
      <c r="BL26" s="24">
        <v>5015</v>
      </c>
      <c r="BM26" s="24">
        <v>5015</v>
      </c>
      <c r="BN26" s="24">
        <v>5015</v>
      </c>
      <c r="BO26" s="24">
        <v>5015</v>
      </c>
      <c r="BP26" s="24">
        <v>5015</v>
      </c>
      <c r="BQ26" s="40">
        <v>5015</v>
      </c>
      <c r="BR26" s="23">
        <v>5001</v>
      </c>
      <c r="BS26" s="23">
        <v>5001</v>
      </c>
      <c r="BT26" s="23">
        <v>5001</v>
      </c>
      <c r="BU26" s="23">
        <v>5001</v>
      </c>
      <c r="BV26" s="25">
        <v>5001</v>
      </c>
      <c r="BW26" s="23">
        <v>5000</v>
      </c>
      <c r="BX26" s="25">
        <v>5000</v>
      </c>
      <c r="BY26" s="23"/>
      <c r="BZ26" s="25">
        <v>5000</v>
      </c>
      <c r="CA26" s="23">
        <v>2222</v>
      </c>
      <c r="CB26" s="25">
        <v>2222</v>
      </c>
      <c r="CC26" s="26"/>
      <c r="CD26" s="26"/>
      <c r="CE26" s="26"/>
      <c r="CF26" s="26"/>
      <c r="CG26" s="23"/>
      <c r="CH26" s="23"/>
    </row>
    <row r="27" spans="1:86" x14ac:dyDescent="0.25">
      <c r="A27" s="20">
        <v>20</v>
      </c>
      <c r="B27" s="21"/>
      <c r="C27" s="26" t="s">
        <v>302</v>
      </c>
      <c r="D27" s="26" t="s">
        <v>86</v>
      </c>
      <c r="E27" s="23"/>
      <c r="F27" s="23" t="s">
        <v>27</v>
      </c>
      <c r="G27" s="26" t="s">
        <v>87</v>
      </c>
      <c r="H27" s="26" t="s">
        <v>88</v>
      </c>
      <c r="I27" s="26"/>
      <c r="J27" s="26"/>
      <c r="K27" s="44">
        <v>150150</v>
      </c>
      <c r="L27" s="44"/>
      <c r="M27" s="44"/>
      <c r="N27" s="24">
        <v>617975</v>
      </c>
      <c r="O27" s="24">
        <v>92178</v>
      </c>
      <c r="P27" s="24">
        <v>3473</v>
      </c>
      <c r="Q27" s="23"/>
      <c r="R27" s="24"/>
      <c r="S27" s="23">
        <v>2091</v>
      </c>
      <c r="T27" s="23">
        <v>2091</v>
      </c>
      <c r="U27" s="23">
        <v>2091</v>
      </c>
      <c r="V27" s="23">
        <v>2091</v>
      </c>
      <c r="W27" s="23">
        <v>2091</v>
      </c>
      <c r="X27" s="23">
        <v>2091</v>
      </c>
      <c r="Y27" s="23">
        <v>2091</v>
      </c>
      <c r="Z27" s="23">
        <v>2091</v>
      </c>
      <c r="AA27" s="23">
        <v>2091</v>
      </c>
      <c r="AB27" s="23">
        <v>2091</v>
      </c>
      <c r="AC27" s="23">
        <v>2091</v>
      </c>
      <c r="AD27" s="138">
        <v>2091</v>
      </c>
      <c r="AE27" s="23">
        <v>2063</v>
      </c>
      <c r="AF27" s="23">
        <v>2063</v>
      </c>
      <c r="AG27" s="23">
        <v>2063</v>
      </c>
      <c r="AH27" s="23">
        <v>2063</v>
      </c>
      <c r="AI27" s="23">
        <v>2063</v>
      </c>
      <c r="AJ27" s="23">
        <v>2063</v>
      </c>
      <c r="AK27" s="23">
        <v>2063</v>
      </c>
      <c r="AL27" s="23">
        <v>2063</v>
      </c>
      <c r="AM27" s="23">
        <v>2063</v>
      </c>
      <c r="AN27" s="23">
        <v>2063</v>
      </c>
      <c r="AO27" s="23">
        <v>2063</v>
      </c>
      <c r="AP27" s="29">
        <v>2063</v>
      </c>
      <c r="AQ27" s="23">
        <v>2086</v>
      </c>
      <c r="AR27" s="23">
        <v>2086</v>
      </c>
      <c r="AS27" s="23">
        <v>2086</v>
      </c>
      <c r="AT27" s="23">
        <v>2086</v>
      </c>
      <c r="AU27" s="23">
        <v>2086</v>
      </c>
      <c r="AV27" s="23">
        <v>2086</v>
      </c>
      <c r="AW27" s="23">
        <v>2086</v>
      </c>
      <c r="AX27" s="23">
        <v>2086</v>
      </c>
      <c r="AY27" s="23">
        <v>2086</v>
      </c>
      <c r="AZ27" s="23">
        <v>2086</v>
      </c>
      <c r="BA27" s="23">
        <v>2086</v>
      </c>
      <c r="BB27" s="23">
        <v>2086</v>
      </c>
      <c r="BC27" s="23">
        <v>2086</v>
      </c>
      <c r="BD27" s="23">
        <v>2086</v>
      </c>
      <c r="BE27" s="23">
        <v>2086</v>
      </c>
      <c r="BF27" s="25">
        <v>2086</v>
      </c>
      <c r="BG27" s="24">
        <v>2116</v>
      </c>
      <c r="BH27" s="24">
        <v>2116</v>
      </c>
      <c r="BI27" s="24">
        <v>2116</v>
      </c>
      <c r="BJ27" s="24">
        <v>2116</v>
      </c>
      <c r="BK27" s="24">
        <v>2116</v>
      </c>
      <c r="BL27" s="40">
        <v>2116</v>
      </c>
      <c r="BM27" s="24">
        <v>2115</v>
      </c>
      <c r="BN27" s="40">
        <v>2115</v>
      </c>
      <c r="BO27" s="24">
        <v>2063</v>
      </c>
      <c r="BP27" s="24">
        <v>2063</v>
      </c>
      <c r="BQ27" s="40">
        <v>2063</v>
      </c>
      <c r="BR27" s="23"/>
      <c r="BS27" s="37" t="s">
        <v>68</v>
      </c>
      <c r="BT27" s="23">
        <v>2061</v>
      </c>
      <c r="BU27" s="23">
        <v>2061</v>
      </c>
      <c r="BV27" s="23">
        <v>2061</v>
      </c>
      <c r="BW27" s="23">
        <v>2061</v>
      </c>
      <c r="BX27" s="23">
        <v>2061</v>
      </c>
      <c r="BY27" s="23">
        <v>2061</v>
      </c>
      <c r="BZ27" s="25">
        <v>2061</v>
      </c>
      <c r="CA27" s="23"/>
      <c r="CB27" s="23"/>
      <c r="CC27" s="26"/>
      <c r="CD27" s="26"/>
      <c r="CE27" s="26"/>
      <c r="CF27" s="26"/>
      <c r="CG27" s="23"/>
      <c r="CH27" s="23"/>
    </row>
    <row r="28" spans="1:86" x14ac:dyDescent="0.25">
      <c r="A28" s="149">
        <v>21</v>
      </c>
      <c r="B28" s="21"/>
      <c r="C28" s="26" t="s">
        <v>89</v>
      </c>
      <c r="D28" s="26" t="s">
        <v>90</v>
      </c>
      <c r="E28" s="23"/>
      <c r="F28" s="23" t="s">
        <v>27</v>
      </c>
      <c r="G28" s="26" t="s">
        <v>87</v>
      </c>
      <c r="H28" s="26" t="s">
        <v>91</v>
      </c>
      <c r="I28" s="26"/>
      <c r="J28" s="26"/>
      <c r="K28" s="44" t="s">
        <v>92</v>
      </c>
      <c r="L28" s="44"/>
      <c r="M28" s="44"/>
      <c r="N28" s="24"/>
      <c r="O28" s="24"/>
      <c r="P28" s="24"/>
      <c r="Q28" s="23"/>
      <c r="R28" s="24"/>
      <c r="S28" s="23">
        <v>2089</v>
      </c>
      <c r="T28" s="23">
        <v>2089</v>
      </c>
      <c r="U28" s="23">
        <v>2089</v>
      </c>
      <c r="V28" s="23">
        <v>2089</v>
      </c>
      <c r="W28" s="23">
        <v>2089</v>
      </c>
      <c r="X28" s="23">
        <v>2089</v>
      </c>
      <c r="Y28" s="23">
        <v>2089</v>
      </c>
      <c r="Z28" s="23">
        <v>2089</v>
      </c>
      <c r="AA28" s="23">
        <v>2089</v>
      </c>
      <c r="AB28" s="23">
        <v>2089</v>
      </c>
      <c r="AC28" s="23">
        <v>2089</v>
      </c>
      <c r="AD28" s="138">
        <v>2089</v>
      </c>
      <c r="AE28" s="23">
        <v>2053</v>
      </c>
      <c r="AF28" s="23">
        <v>2053</v>
      </c>
      <c r="AG28" s="23">
        <v>2053</v>
      </c>
      <c r="AH28" s="23">
        <v>2053</v>
      </c>
      <c r="AI28" s="23">
        <v>2053</v>
      </c>
      <c r="AJ28" s="23">
        <v>2053</v>
      </c>
      <c r="AK28" s="23">
        <v>2053</v>
      </c>
      <c r="AL28" s="23">
        <v>2053</v>
      </c>
      <c r="AM28" s="23">
        <v>2053</v>
      </c>
      <c r="AN28" s="23">
        <v>2053</v>
      </c>
      <c r="AO28" s="23">
        <v>2053</v>
      </c>
      <c r="AP28" s="23">
        <v>2053</v>
      </c>
      <c r="AQ28" s="23">
        <v>2053</v>
      </c>
      <c r="AR28" s="29">
        <v>2053</v>
      </c>
      <c r="AS28" s="23">
        <v>2078</v>
      </c>
      <c r="AT28" s="29">
        <v>2078</v>
      </c>
      <c r="AU28" s="23">
        <v>2063</v>
      </c>
      <c r="AV28" s="23">
        <v>2063</v>
      </c>
      <c r="AW28" s="23">
        <v>2063</v>
      </c>
      <c r="AX28" s="23">
        <v>2063</v>
      </c>
      <c r="AY28" s="25">
        <v>2063</v>
      </c>
      <c r="AZ28" s="23">
        <v>2070</v>
      </c>
      <c r="BA28" s="23">
        <v>2070</v>
      </c>
      <c r="BB28" s="23">
        <v>2070</v>
      </c>
      <c r="BC28" s="23">
        <v>2070</v>
      </c>
      <c r="BD28" s="23">
        <v>2070</v>
      </c>
      <c r="BE28" s="23">
        <v>2070</v>
      </c>
      <c r="BF28" s="24">
        <v>2070</v>
      </c>
      <c r="BG28" s="24">
        <v>2070</v>
      </c>
      <c r="BH28" s="24">
        <v>2070</v>
      </c>
      <c r="BI28" s="24">
        <v>2070</v>
      </c>
      <c r="BJ28" s="23">
        <v>2070</v>
      </c>
      <c r="BK28" s="23">
        <v>2070</v>
      </c>
      <c r="BL28" s="25">
        <v>2070</v>
      </c>
      <c r="BM28" s="23">
        <v>2094</v>
      </c>
      <c r="BN28" s="23">
        <v>2094</v>
      </c>
      <c r="BO28" s="23">
        <v>2094</v>
      </c>
      <c r="BP28" s="23">
        <v>2094</v>
      </c>
      <c r="BQ28" s="25">
        <v>2094</v>
      </c>
      <c r="BR28" s="23">
        <v>2094</v>
      </c>
      <c r="BS28" s="23">
        <v>2094</v>
      </c>
      <c r="BT28" s="23">
        <v>2094</v>
      </c>
      <c r="BU28" s="23">
        <v>2094</v>
      </c>
      <c r="BV28" s="23">
        <v>2094</v>
      </c>
      <c r="BW28" s="23">
        <v>2094</v>
      </c>
      <c r="BX28" s="23">
        <v>2094</v>
      </c>
      <c r="BY28" s="23">
        <v>2094</v>
      </c>
      <c r="BZ28" s="25">
        <v>2094</v>
      </c>
      <c r="CA28" s="23"/>
      <c r="CB28" s="23"/>
      <c r="CC28" s="26"/>
      <c r="CD28" s="26"/>
      <c r="CE28" s="26"/>
      <c r="CF28" s="26"/>
      <c r="CG28" s="23"/>
      <c r="CH28" s="23"/>
    </row>
    <row r="29" spans="1:86" x14ac:dyDescent="0.25">
      <c r="A29" s="20">
        <v>22</v>
      </c>
      <c r="B29" s="21"/>
      <c r="C29" s="26" t="s">
        <v>93</v>
      </c>
      <c r="D29" s="26" t="s">
        <v>90</v>
      </c>
      <c r="E29" s="23"/>
      <c r="F29" s="23" t="s">
        <v>27</v>
      </c>
      <c r="G29" s="26" t="s">
        <v>87</v>
      </c>
      <c r="H29" s="26" t="s">
        <v>94</v>
      </c>
      <c r="I29" s="26"/>
      <c r="J29" s="26"/>
      <c r="K29" s="44">
        <v>100150</v>
      </c>
      <c r="L29" s="44"/>
      <c r="M29" s="44"/>
      <c r="N29" s="152">
        <v>617952</v>
      </c>
      <c r="O29" s="152">
        <v>92226</v>
      </c>
      <c r="P29" s="24"/>
      <c r="Q29" s="23"/>
      <c r="R29" s="24"/>
      <c r="S29" s="23">
        <v>2070</v>
      </c>
      <c r="T29" s="23">
        <v>2070</v>
      </c>
      <c r="U29" s="23">
        <v>2070</v>
      </c>
      <c r="V29" s="23">
        <v>2070</v>
      </c>
      <c r="W29" s="23">
        <v>2070</v>
      </c>
      <c r="X29" s="23">
        <v>2070</v>
      </c>
      <c r="Y29" s="23">
        <v>2070</v>
      </c>
      <c r="Z29" s="23">
        <v>2070</v>
      </c>
      <c r="AA29" s="23">
        <v>2070</v>
      </c>
      <c r="AB29" s="23">
        <v>2070</v>
      </c>
      <c r="AC29" s="23">
        <v>2070</v>
      </c>
      <c r="AD29" s="138">
        <v>2070</v>
      </c>
      <c r="AE29" s="23">
        <v>2072</v>
      </c>
      <c r="AF29" s="23">
        <v>2072</v>
      </c>
      <c r="AG29" s="23">
        <v>2072</v>
      </c>
      <c r="AH29" s="23">
        <v>2072</v>
      </c>
      <c r="AI29" s="23">
        <v>2072</v>
      </c>
      <c r="AJ29" s="23">
        <v>2072</v>
      </c>
      <c r="AK29" s="23">
        <v>2072</v>
      </c>
      <c r="AL29" s="23">
        <v>2072</v>
      </c>
      <c r="AM29" s="23">
        <v>2072</v>
      </c>
      <c r="AN29" s="23">
        <v>2072</v>
      </c>
      <c r="AO29" s="23">
        <v>2072</v>
      </c>
      <c r="AP29" s="23">
        <v>2072</v>
      </c>
      <c r="AQ29" s="23">
        <v>2072</v>
      </c>
      <c r="AR29" s="23">
        <v>2072</v>
      </c>
      <c r="AS29" s="23">
        <v>2072</v>
      </c>
      <c r="AT29" s="23">
        <v>2072</v>
      </c>
      <c r="AU29" s="23">
        <v>2072</v>
      </c>
      <c r="AV29" s="23">
        <v>2072</v>
      </c>
      <c r="AW29" s="23">
        <v>2072</v>
      </c>
      <c r="AX29" s="23">
        <v>2072</v>
      </c>
      <c r="AY29" s="23">
        <v>2072</v>
      </c>
      <c r="AZ29" s="23">
        <v>2072</v>
      </c>
      <c r="BA29" s="25">
        <v>2072</v>
      </c>
      <c r="BB29" s="23">
        <v>2118</v>
      </c>
      <c r="BC29" s="23">
        <v>2118</v>
      </c>
      <c r="BD29" s="23">
        <v>2118</v>
      </c>
      <c r="BE29" s="23">
        <v>2118</v>
      </c>
      <c r="BF29" s="24">
        <v>2118</v>
      </c>
      <c r="BG29" s="24">
        <v>2118</v>
      </c>
      <c r="BH29" s="24">
        <v>2118</v>
      </c>
      <c r="BI29" s="24">
        <v>2118</v>
      </c>
      <c r="BJ29" s="23">
        <v>2118</v>
      </c>
      <c r="BK29" s="23">
        <v>2118</v>
      </c>
      <c r="BL29" s="25">
        <v>2118</v>
      </c>
      <c r="BM29" s="23">
        <v>2062</v>
      </c>
      <c r="BN29" s="23">
        <v>2062</v>
      </c>
      <c r="BO29" s="25">
        <v>2062</v>
      </c>
      <c r="BP29" s="23">
        <v>2080</v>
      </c>
      <c r="BQ29" s="23">
        <v>2080</v>
      </c>
      <c r="BR29" s="23">
        <v>2080</v>
      </c>
      <c r="BS29" s="23">
        <v>2080</v>
      </c>
      <c r="BT29" s="23">
        <v>2080</v>
      </c>
      <c r="BU29" s="23">
        <v>2080</v>
      </c>
      <c r="BV29" s="23">
        <v>2080</v>
      </c>
      <c r="BW29" s="23">
        <v>2080</v>
      </c>
      <c r="BX29" s="23">
        <v>2080</v>
      </c>
      <c r="BY29" s="23">
        <v>2080</v>
      </c>
      <c r="BZ29" s="25">
        <v>2080</v>
      </c>
      <c r="CA29" s="23"/>
      <c r="CB29" s="23"/>
      <c r="CC29" s="26"/>
      <c r="CD29" s="26"/>
      <c r="CE29" s="26"/>
      <c r="CF29" s="26"/>
      <c r="CG29" s="23"/>
      <c r="CH29" s="23"/>
    </row>
    <row r="30" spans="1:86" x14ac:dyDescent="0.25">
      <c r="A30" s="21">
        <v>23</v>
      </c>
      <c r="B30" s="21"/>
      <c r="C30" s="23" t="s">
        <v>95</v>
      </c>
      <c r="D30" s="23"/>
      <c r="E30" s="23" t="s">
        <v>96</v>
      </c>
      <c r="F30" s="3" t="s">
        <v>97</v>
      </c>
      <c r="G30" s="3" t="s">
        <v>98</v>
      </c>
      <c r="H30" s="26"/>
      <c r="I30" s="26"/>
      <c r="J30" s="26"/>
      <c r="K30" s="26"/>
      <c r="L30" s="26"/>
      <c r="M30" s="26"/>
      <c r="N30" s="24">
        <v>618018</v>
      </c>
      <c r="O30" s="24">
        <v>92199</v>
      </c>
      <c r="P30" s="24">
        <v>3399</v>
      </c>
      <c r="Q30" s="37"/>
      <c r="R30" s="153"/>
      <c r="S30" s="37"/>
      <c r="T30" s="37"/>
      <c r="U30" s="37"/>
      <c r="V30" s="37" t="s">
        <v>68</v>
      </c>
      <c r="W30" s="37">
        <v>6005</v>
      </c>
      <c r="X30" s="37">
        <v>6005</v>
      </c>
      <c r="Y30" s="37">
        <v>6005</v>
      </c>
      <c r="Z30" s="37">
        <v>6005</v>
      </c>
      <c r="AA30" s="37">
        <v>6005</v>
      </c>
      <c r="AB30" s="37">
        <v>6005</v>
      </c>
      <c r="AC30" s="37">
        <v>6005</v>
      </c>
      <c r="AD30" s="146">
        <v>6005</v>
      </c>
      <c r="AE30" s="37">
        <v>6005</v>
      </c>
      <c r="AF30" s="37">
        <v>6005</v>
      </c>
      <c r="AG30" s="37">
        <v>6005</v>
      </c>
      <c r="AH30" s="37">
        <v>6005</v>
      </c>
      <c r="AI30" s="37">
        <v>6005</v>
      </c>
      <c r="AJ30" s="37">
        <v>6005</v>
      </c>
      <c r="AK30" s="37">
        <v>6005</v>
      </c>
      <c r="AL30" s="37">
        <v>6005</v>
      </c>
      <c r="AM30" s="37">
        <v>6005</v>
      </c>
      <c r="AN30" s="37">
        <v>6005</v>
      </c>
      <c r="AO30" s="37" t="s">
        <v>68</v>
      </c>
      <c r="AP30" s="37">
        <v>6005</v>
      </c>
      <c r="AQ30" s="37">
        <v>6005</v>
      </c>
      <c r="AR30" s="37">
        <v>6005</v>
      </c>
      <c r="AS30" s="37">
        <v>6005</v>
      </c>
      <c r="AT30" s="37">
        <v>6005</v>
      </c>
      <c r="AU30" s="37">
        <v>6005</v>
      </c>
      <c r="AV30" s="37">
        <v>6005</v>
      </c>
      <c r="AW30" s="37">
        <v>6005</v>
      </c>
      <c r="AX30" s="37">
        <v>6005</v>
      </c>
      <c r="AY30" s="37">
        <v>6005</v>
      </c>
      <c r="AZ30" s="37">
        <v>6005</v>
      </c>
      <c r="BA30" s="37">
        <v>6005</v>
      </c>
      <c r="BB30" s="39">
        <v>6005</v>
      </c>
      <c r="BC30" s="24">
        <v>6005</v>
      </c>
      <c r="BD30" s="24">
        <v>6005</v>
      </c>
      <c r="BE30" s="24">
        <v>6005</v>
      </c>
      <c r="BF30" s="24">
        <v>6005</v>
      </c>
      <c r="BG30" s="24">
        <v>6005</v>
      </c>
      <c r="BH30" s="24">
        <v>6005</v>
      </c>
      <c r="BI30" s="24">
        <v>6005</v>
      </c>
      <c r="BJ30" s="31">
        <v>6005</v>
      </c>
      <c r="BK30" s="23">
        <v>6000</v>
      </c>
      <c r="BL30" s="23">
        <v>6000</v>
      </c>
      <c r="BM30" s="23">
        <v>6000</v>
      </c>
      <c r="BN30" s="23">
        <v>6000</v>
      </c>
      <c r="BO30" s="23">
        <v>6000</v>
      </c>
      <c r="BP30" s="23">
        <v>6000</v>
      </c>
      <c r="BQ30" s="23">
        <v>6000</v>
      </c>
      <c r="BR30" s="23">
        <v>6000</v>
      </c>
      <c r="BS30" s="23">
        <v>6000</v>
      </c>
      <c r="BT30" s="23">
        <v>6000</v>
      </c>
      <c r="BU30" s="23">
        <v>6000</v>
      </c>
      <c r="BV30" s="23">
        <v>6000</v>
      </c>
      <c r="BW30" s="23">
        <v>6000</v>
      </c>
      <c r="BX30" s="23">
        <v>6000</v>
      </c>
      <c r="BY30" s="23">
        <v>6000</v>
      </c>
      <c r="BZ30" s="25">
        <v>6000</v>
      </c>
      <c r="CA30" s="23"/>
      <c r="CB30" s="23"/>
      <c r="CC30" s="26"/>
      <c r="CD30" s="26"/>
      <c r="CE30" s="26"/>
      <c r="CF30" s="26"/>
      <c r="CG30" s="23"/>
      <c r="CH30" s="23"/>
    </row>
    <row r="31" spans="1:86" ht="12.9" customHeight="1" x14ac:dyDescent="0.25">
      <c r="A31" s="21">
        <v>24</v>
      </c>
      <c r="B31" s="21"/>
      <c r="C31" s="26" t="s">
        <v>99</v>
      </c>
      <c r="D31" s="26" t="s">
        <v>100</v>
      </c>
      <c r="E31" s="26"/>
      <c r="F31" s="23" t="s">
        <v>27</v>
      </c>
      <c r="G31" s="26"/>
      <c r="H31" s="26"/>
      <c r="I31" s="26"/>
      <c r="J31" s="26"/>
      <c r="K31" s="26"/>
      <c r="L31" s="26"/>
      <c r="M31" s="26"/>
      <c r="N31" s="24">
        <v>617925</v>
      </c>
      <c r="O31" s="24">
        <v>92147</v>
      </c>
      <c r="P31" s="24">
        <v>3535</v>
      </c>
      <c r="Q31" s="23"/>
      <c r="R31" s="24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 t="s">
        <v>68</v>
      </c>
      <c r="BA31" s="23">
        <v>2048</v>
      </c>
      <c r="BB31" s="23">
        <v>2048</v>
      </c>
      <c r="BC31" s="23">
        <v>2048</v>
      </c>
      <c r="BD31" s="23">
        <v>2048</v>
      </c>
      <c r="BE31" s="23">
        <v>2048</v>
      </c>
      <c r="BF31" s="25">
        <v>2048</v>
      </c>
      <c r="BG31" s="23">
        <v>2090</v>
      </c>
      <c r="BH31" s="23">
        <v>2090</v>
      </c>
      <c r="BI31" s="23">
        <v>2090</v>
      </c>
      <c r="BJ31" s="23">
        <v>2090</v>
      </c>
      <c r="BK31" s="23">
        <v>2090</v>
      </c>
      <c r="BL31" s="25">
        <v>2090</v>
      </c>
      <c r="BM31" s="23">
        <v>2052</v>
      </c>
      <c r="BN31" s="23">
        <v>2052</v>
      </c>
      <c r="BO31" s="23">
        <v>2052</v>
      </c>
      <c r="BP31" s="23">
        <v>2052</v>
      </c>
      <c r="BQ31" s="23">
        <v>2052</v>
      </c>
      <c r="BR31" s="23">
        <v>2052</v>
      </c>
      <c r="BS31" s="23">
        <v>2052</v>
      </c>
      <c r="BT31" s="23">
        <v>2052</v>
      </c>
      <c r="BU31" s="23">
        <v>2052</v>
      </c>
      <c r="BV31" s="23">
        <v>2052</v>
      </c>
      <c r="BW31" s="23">
        <v>2052</v>
      </c>
      <c r="BX31" s="25">
        <v>2052</v>
      </c>
      <c r="BY31" s="23"/>
      <c r="BZ31" s="23"/>
      <c r="CA31" s="23"/>
      <c r="CB31" s="23"/>
      <c r="CC31" s="26"/>
      <c r="CD31" s="26"/>
      <c r="CE31" s="26"/>
      <c r="CF31" s="26"/>
      <c r="CG31" s="23"/>
      <c r="CH31" s="23"/>
    </row>
    <row r="32" spans="1:86" x14ac:dyDescent="0.25">
      <c r="A32" s="166">
        <v>25</v>
      </c>
      <c r="B32" s="21"/>
      <c r="C32" s="26" t="s">
        <v>303</v>
      </c>
      <c r="D32" s="26"/>
      <c r="E32" s="26"/>
      <c r="F32" s="23" t="s">
        <v>27</v>
      </c>
      <c r="G32" s="26" t="s">
        <v>101</v>
      </c>
      <c r="H32" s="26"/>
      <c r="I32" s="26"/>
      <c r="J32" s="26"/>
      <c r="K32" s="26"/>
      <c r="L32" s="26"/>
      <c r="M32" s="26"/>
      <c r="N32" s="24">
        <v>618019</v>
      </c>
      <c r="O32" s="24">
        <v>92200</v>
      </c>
      <c r="P32" s="24">
        <v>3402</v>
      </c>
      <c r="Q32" s="23"/>
      <c r="R32" s="24"/>
      <c r="S32" s="23" t="s">
        <v>68</v>
      </c>
      <c r="T32" s="23">
        <v>2116</v>
      </c>
      <c r="U32" s="23">
        <v>2116</v>
      </c>
      <c r="V32" s="23">
        <v>2116</v>
      </c>
      <c r="W32" s="23">
        <v>2116</v>
      </c>
      <c r="X32" s="23">
        <v>2116</v>
      </c>
      <c r="Y32" s="138">
        <v>2116</v>
      </c>
      <c r="Z32" s="23">
        <v>2116</v>
      </c>
      <c r="AA32" s="23">
        <v>2116</v>
      </c>
      <c r="AB32" s="138">
        <v>2116</v>
      </c>
      <c r="AC32" s="138">
        <v>2116</v>
      </c>
      <c r="AD32" s="147">
        <v>2116</v>
      </c>
      <c r="AE32" s="23">
        <v>2116</v>
      </c>
      <c r="AF32" s="23">
        <v>2116</v>
      </c>
      <c r="AG32" s="23">
        <v>2116</v>
      </c>
      <c r="AH32" s="23">
        <v>2116</v>
      </c>
      <c r="AI32" s="23">
        <v>2116</v>
      </c>
      <c r="AJ32" s="23">
        <v>2116</v>
      </c>
      <c r="AK32" s="23">
        <v>2116</v>
      </c>
      <c r="AL32" s="23">
        <v>2116</v>
      </c>
      <c r="AM32" s="23">
        <v>2116</v>
      </c>
      <c r="AN32" s="23">
        <v>2116</v>
      </c>
      <c r="AO32" s="23">
        <v>2116</v>
      </c>
      <c r="AP32" s="23">
        <v>2116</v>
      </c>
      <c r="AQ32" s="23">
        <v>2116</v>
      </c>
      <c r="AR32" s="29">
        <v>2116</v>
      </c>
      <c r="AS32" s="29">
        <v>2057</v>
      </c>
      <c r="AT32" s="23">
        <v>2119</v>
      </c>
      <c r="AU32" s="23">
        <v>2119</v>
      </c>
      <c r="AV32" s="25">
        <v>2119</v>
      </c>
      <c r="AW32" s="23" t="s">
        <v>68</v>
      </c>
      <c r="AX32" s="23">
        <v>2079</v>
      </c>
      <c r="AY32" s="23">
        <v>2079</v>
      </c>
      <c r="AZ32" s="23">
        <v>2079</v>
      </c>
      <c r="BA32" s="23">
        <v>2079</v>
      </c>
      <c r="BB32" s="23">
        <v>2079</v>
      </c>
      <c r="BC32" s="23">
        <v>2079</v>
      </c>
      <c r="BD32" s="23">
        <v>2079</v>
      </c>
      <c r="BE32" s="23">
        <v>2079</v>
      </c>
      <c r="BF32" s="25">
        <v>2079</v>
      </c>
      <c r="BG32" s="24">
        <v>2106</v>
      </c>
      <c r="BH32" s="24">
        <v>2106</v>
      </c>
      <c r="BI32" s="24">
        <v>2106</v>
      </c>
      <c r="BJ32" s="31">
        <v>2106</v>
      </c>
      <c r="BK32" s="31">
        <v>2080</v>
      </c>
      <c r="BL32" s="23">
        <v>2127</v>
      </c>
      <c r="BM32" s="23">
        <v>2127</v>
      </c>
      <c r="BN32" s="23">
        <v>2127</v>
      </c>
      <c r="BO32" s="23">
        <v>2127</v>
      </c>
      <c r="BP32" s="25">
        <v>2127</v>
      </c>
      <c r="BQ32" s="23">
        <v>2070</v>
      </c>
      <c r="BR32" s="23">
        <v>2070</v>
      </c>
      <c r="BS32" s="23">
        <v>2070</v>
      </c>
      <c r="BT32" s="23">
        <v>2070</v>
      </c>
      <c r="BU32" s="23">
        <v>2070</v>
      </c>
      <c r="BV32" s="23">
        <v>2070</v>
      </c>
      <c r="BW32" s="25">
        <v>2070</v>
      </c>
      <c r="BX32" s="23"/>
      <c r="BY32" s="23"/>
      <c r="BZ32" s="23"/>
      <c r="CA32" s="23"/>
      <c r="CB32" s="23"/>
      <c r="CC32" s="26"/>
      <c r="CD32" s="26"/>
      <c r="CE32" s="26"/>
      <c r="CF32" s="26"/>
      <c r="CG32" s="23"/>
      <c r="CH32" s="23"/>
    </row>
    <row r="33" spans="1:86" x14ac:dyDescent="0.25">
      <c r="A33" s="45">
        <v>26</v>
      </c>
      <c r="B33" s="46"/>
      <c r="C33" s="47" t="s">
        <v>102</v>
      </c>
      <c r="D33" s="47" t="s">
        <v>103</v>
      </c>
      <c r="E33" s="37" t="s">
        <v>104</v>
      </c>
      <c r="F33" s="3" t="s">
        <v>97</v>
      </c>
      <c r="G33" s="47" t="s">
        <v>105</v>
      </c>
      <c r="H33" s="47"/>
      <c r="I33" s="47"/>
      <c r="J33" s="47"/>
      <c r="K33" s="47"/>
      <c r="L33" s="47"/>
      <c r="M33" s="47"/>
      <c r="N33" s="153">
        <v>618019</v>
      </c>
      <c r="O33" s="153">
        <v>92202</v>
      </c>
      <c r="P33" s="153">
        <v>3403</v>
      </c>
      <c r="Q33" s="37"/>
      <c r="R33" s="153"/>
      <c r="S33" s="37" t="s">
        <v>68</v>
      </c>
      <c r="T33" s="37">
        <v>6001</v>
      </c>
      <c r="U33" s="37">
        <v>6001</v>
      </c>
      <c r="V33" s="37">
        <v>6001</v>
      </c>
      <c r="W33" s="37">
        <v>6001</v>
      </c>
      <c r="X33" s="37">
        <v>6001</v>
      </c>
      <c r="Y33" s="37">
        <v>6001</v>
      </c>
      <c r="Z33" s="37">
        <v>6001</v>
      </c>
      <c r="AA33" s="37">
        <v>6001</v>
      </c>
      <c r="AB33" s="37">
        <v>6001</v>
      </c>
      <c r="AC33" s="37">
        <v>6001</v>
      </c>
      <c r="AD33" s="146">
        <v>6001</v>
      </c>
      <c r="AE33" s="37">
        <v>6001</v>
      </c>
      <c r="AF33" s="37">
        <v>6001</v>
      </c>
      <c r="AG33" s="37">
        <v>6001</v>
      </c>
      <c r="AH33" s="37">
        <v>6001</v>
      </c>
      <c r="AI33" s="37">
        <v>6001</v>
      </c>
      <c r="AJ33" s="37">
        <v>6001</v>
      </c>
      <c r="AK33" s="37">
        <v>6001</v>
      </c>
      <c r="AL33" s="37">
        <v>6001</v>
      </c>
      <c r="AM33" s="37">
        <v>6001</v>
      </c>
      <c r="AN33" s="37">
        <v>6001</v>
      </c>
      <c r="AO33" s="37">
        <v>6001</v>
      </c>
      <c r="AP33" s="37">
        <v>6001</v>
      </c>
      <c r="AQ33" s="37">
        <v>6001</v>
      </c>
      <c r="AR33" s="37">
        <v>6001</v>
      </c>
      <c r="AS33" s="37">
        <v>6001</v>
      </c>
      <c r="AT33" s="37">
        <v>6001</v>
      </c>
      <c r="AU33" s="37">
        <v>6001</v>
      </c>
      <c r="AV33" s="37">
        <v>6001</v>
      </c>
      <c r="AW33" s="37">
        <v>6001</v>
      </c>
      <c r="AX33" s="37">
        <v>6001</v>
      </c>
      <c r="AY33" s="37">
        <v>6001</v>
      </c>
      <c r="AZ33" s="37">
        <v>6001</v>
      </c>
      <c r="BA33" s="37">
        <v>6001</v>
      </c>
      <c r="BB33" s="39">
        <v>6001</v>
      </c>
      <c r="BC33" s="37">
        <v>6001</v>
      </c>
      <c r="BD33" s="37">
        <v>6001</v>
      </c>
      <c r="BE33" s="37">
        <v>6001</v>
      </c>
      <c r="BF33" s="37">
        <v>6001</v>
      </c>
      <c r="BG33" s="37">
        <v>6001</v>
      </c>
      <c r="BH33" s="37">
        <v>6001</v>
      </c>
      <c r="BI33" s="37">
        <v>6001</v>
      </c>
      <c r="BJ33" s="37">
        <v>6001</v>
      </c>
      <c r="BK33" s="37">
        <v>6001</v>
      </c>
      <c r="BL33" s="37">
        <v>6001</v>
      </c>
      <c r="BM33" s="37">
        <v>6001</v>
      </c>
      <c r="BN33" s="37">
        <v>6001</v>
      </c>
      <c r="BO33" s="37">
        <v>6001</v>
      </c>
      <c r="BP33" s="37">
        <v>6001</v>
      </c>
      <c r="BQ33" s="37">
        <v>6001</v>
      </c>
      <c r="BR33" s="37">
        <v>6001</v>
      </c>
      <c r="BS33" s="37">
        <v>6001</v>
      </c>
      <c r="BT33" s="37">
        <v>6001</v>
      </c>
      <c r="BU33" s="37">
        <v>6001</v>
      </c>
      <c r="BV33" s="37">
        <v>6001</v>
      </c>
      <c r="BW33" s="39">
        <v>6001</v>
      </c>
      <c r="BX33" s="37"/>
      <c r="BY33" s="37"/>
      <c r="BZ33" s="37"/>
      <c r="CA33" s="37"/>
      <c r="CB33" s="37"/>
      <c r="CC33" s="47"/>
      <c r="CD33" s="47"/>
      <c r="CE33" s="47"/>
      <c r="CF33" s="47"/>
      <c r="CG33" s="37"/>
      <c r="CH33" s="37"/>
    </row>
    <row r="34" spans="1:86" x14ac:dyDescent="0.25">
      <c r="A34" s="48">
        <v>27</v>
      </c>
      <c r="B34" s="49"/>
      <c r="C34" s="35" t="s">
        <v>106</v>
      </c>
      <c r="D34" s="35" t="s">
        <v>107</v>
      </c>
      <c r="E34" s="50"/>
      <c r="F34" s="23" t="s">
        <v>27</v>
      </c>
      <c r="G34" s="35" t="s">
        <v>64</v>
      </c>
      <c r="H34" s="35">
        <v>428071886</v>
      </c>
      <c r="I34" s="35"/>
      <c r="J34" s="35"/>
      <c r="K34" s="35"/>
      <c r="L34" s="35"/>
      <c r="M34" s="35"/>
      <c r="N34" s="153"/>
      <c r="O34" s="153"/>
      <c r="P34" s="153"/>
      <c r="Q34" s="41"/>
      <c r="R34" s="168"/>
      <c r="S34" s="41">
        <v>2059</v>
      </c>
      <c r="T34" s="41">
        <v>2059</v>
      </c>
      <c r="U34" s="41">
        <v>2059</v>
      </c>
      <c r="V34" s="41">
        <v>2059</v>
      </c>
      <c r="W34" s="41">
        <v>2059</v>
      </c>
      <c r="X34" s="41">
        <v>2059</v>
      </c>
      <c r="Y34" s="41">
        <v>2059</v>
      </c>
      <c r="Z34" s="41">
        <v>2059</v>
      </c>
      <c r="AA34" s="41">
        <v>2059</v>
      </c>
      <c r="AB34" s="41">
        <v>2059</v>
      </c>
      <c r="AC34" s="41">
        <v>2059</v>
      </c>
      <c r="AD34" s="140">
        <v>2059</v>
      </c>
      <c r="AE34" s="41">
        <v>2059</v>
      </c>
      <c r="AF34" s="41">
        <v>2059</v>
      </c>
      <c r="AG34" s="41">
        <v>2059</v>
      </c>
      <c r="AH34" s="41">
        <v>2059</v>
      </c>
      <c r="AI34" s="41">
        <v>2059</v>
      </c>
      <c r="AJ34" s="41">
        <v>2059</v>
      </c>
      <c r="AK34" s="41">
        <v>2059</v>
      </c>
      <c r="AL34" s="41">
        <v>2059</v>
      </c>
      <c r="AM34" s="41">
        <v>2059</v>
      </c>
      <c r="AN34" s="41">
        <v>2059</v>
      </c>
      <c r="AO34" s="41">
        <v>2059</v>
      </c>
      <c r="AP34" s="41">
        <v>2059</v>
      </c>
      <c r="AQ34" s="51">
        <v>2059</v>
      </c>
      <c r="AR34" s="41" t="s">
        <v>68</v>
      </c>
      <c r="AS34" s="51">
        <v>2059</v>
      </c>
      <c r="AT34" s="41">
        <v>2099</v>
      </c>
      <c r="AU34" s="41">
        <v>2099</v>
      </c>
      <c r="AV34" s="41">
        <v>2099</v>
      </c>
      <c r="AW34" s="41">
        <v>2099</v>
      </c>
      <c r="AX34" s="41">
        <v>2099</v>
      </c>
      <c r="AY34" s="41">
        <v>2099</v>
      </c>
      <c r="AZ34" s="41">
        <v>2099</v>
      </c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37" t="s">
        <v>68</v>
      </c>
      <c r="BS34" s="50">
        <v>6010</v>
      </c>
      <c r="BT34" s="50">
        <v>6010</v>
      </c>
      <c r="BU34" s="52">
        <v>6010</v>
      </c>
      <c r="BV34" s="50"/>
      <c r="BW34" s="50"/>
      <c r="BX34" s="50"/>
      <c r="BY34" s="50"/>
      <c r="BZ34" s="50"/>
      <c r="CA34" s="50"/>
      <c r="CB34" s="50"/>
      <c r="CC34" s="35"/>
      <c r="CD34" s="35"/>
      <c r="CE34" s="35"/>
      <c r="CF34" s="35"/>
      <c r="CG34" s="50"/>
      <c r="CH34" s="50"/>
    </row>
    <row r="35" spans="1:86" x14ac:dyDescent="0.25">
      <c r="A35" s="48">
        <v>28</v>
      </c>
      <c r="B35" s="49"/>
      <c r="C35" s="35" t="s">
        <v>108</v>
      </c>
      <c r="D35" s="35"/>
      <c r="E35" s="50"/>
      <c r="F35" s="23" t="s">
        <v>27</v>
      </c>
      <c r="G35" s="35"/>
      <c r="H35" s="35"/>
      <c r="I35" s="35" t="s">
        <v>109</v>
      </c>
      <c r="J35" s="35" t="s">
        <v>110</v>
      </c>
      <c r="K35" s="35"/>
      <c r="L35" s="35"/>
      <c r="M35" s="35"/>
      <c r="N35" s="41">
        <v>617964</v>
      </c>
      <c r="O35" s="41">
        <v>92180</v>
      </c>
      <c r="P35" s="41"/>
      <c r="Q35" s="41"/>
      <c r="R35" s="41"/>
      <c r="S35" s="41">
        <v>2023</v>
      </c>
      <c r="T35" s="41">
        <v>2023</v>
      </c>
      <c r="U35" s="41">
        <v>2023</v>
      </c>
      <c r="V35" s="41">
        <v>2023</v>
      </c>
      <c r="W35" s="41">
        <v>2023</v>
      </c>
      <c r="X35" s="41">
        <v>2023</v>
      </c>
      <c r="Y35" s="41">
        <v>2023</v>
      </c>
      <c r="Z35" s="41">
        <v>2023</v>
      </c>
      <c r="AA35" s="41">
        <v>2023</v>
      </c>
      <c r="AB35" s="41">
        <v>2023</v>
      </c>
      <c r="AC35" s="41">
        <v>2023</v>
      </c>
      <c r="AD35" s="140">
        <v>2023</v>
      </c>
      <c r="AE35" s="41">
        <v>2023</v>
      </c>
      <c r="AF35" s="41">
        <v>2023</v>
      </c>
      <c r="AG35" s="41">
        <v>2023</v>
      </c>
      <c r="AH35" s="41">
        <v>2023</v>
      </c>
      <c r="AI35" s="41">
        <v>2023</v>
      </c>
      <c r="AJ35" s="41">
        <v>2023</v>
      </c>
      <c r="AK35" s="41">
        <v>2023</v>
      </c>
      <c r="AL35" s="41">
        <v>2023</v>
      </c>
      <c r="AM35" s="41">
        <v>2023</v>
      </c>
      <c r="AN35" s="41">
        <v>2023</v>
      </c>
      <c r="AO35" s="41">
        <v>2023</v>
      </c>
      <c r="AP35" s="41">
        <v>2023</v>
      </c>
      <c r="AQ35" s="41">
        <v>2023</v>
      </c>
      <c r="AR35" s="51">
        <v>2023</v>
      </c>
      <c r="AS35" s="41">
        <v>2035</v>
      </c>
      <c r="AT35" s="41">
        <v>2035</v>
      </c>
      <c r="AU35" s="41">
        <v>2035</v>
      </c>
      <c r="AV35" s="41">
        <v>2035</v>
      </c>
      <c r="AW35" s="42">
        <v>2035</v>
      </c>
      <c r="AX35" s="41">
        <v>2030</v>
      </c>
      <c r="AY35" s="43">
        <v>2030</v>
      </c>
      <c r="AZ35" s="43">
        <v>2030</v>
      </c>
      <c r="BA35" s="41">
        <v>2030</v>
      </c>
      <c r="BB35" s="43">
        <v>2030</v>
      </c>
      <c r="BC35" s="43">
        <v>2030</v>
      </c>
      <c r="BD35" s="43">
        <v>2030</v>
      </c>
      <c r="BE35" s="43">
        <v>2030</v>
      </c>
      <c r="BF35" s="42">
        <v>2030</v>
      </c>
      <c r="BG35" s="43">
        <v>2030</v>
      </c>
      <c r="BH35" s="53">
        <v>2030</v>
      </c>
      <c r="BI35" s="41"/>
      <c r="BJ35" s="41"/>
      <c r="BK35" s="41"/>
      <c r="BL35" s="41"/>
      <c r="BM35" s="37" t="s">
        <v>68</v>
      </c>
      <c r="BN35" s="42">
        <v>2106</v>
      </c>
      <c r="BO35" s="42"/>
      <c r="BP35" s="41"/>
      <c r="BQ35" s="42">
        <v>2127</v>
      </c>
      <c r="BR35" s="41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35"/>
      <c r="CD35" s="35"/>
      <c r="CE35" s="35"/>
      <c r="CF35" s="35"/>
      <c r="CG35" s="50"/>
      <c r="CH35" s="50"/>
    </row>
    <row r="36" spans="1:86" x14ac:dyDescent="0.25">
      <c r="A36" s="49">
        <v>29</v>
      </c>
      <c r="B36" s="49"/>
      <c r="C36" s="35" t="s">
        <v>111</v>
      </c>
      <c r="D36" s="35"/>
      <c r="E36" s="50"/>
      <c r="F36" s="35" t="s">
        <v>112</v>
      </c>
      <c r="H36" s="35"/>
      <c r="I36" s="35"/>
      <c r="J36" s="35"/>
      <c r="K36" s="35"/>
      <c r="L36" s="35"/>
      <c r="M36" s="35"/>
      <c r="N36" s="152">
        <v>617964</v>
      </c>
      <c r="O36" s="152">
        <v>92180</v>
      </c>
      <c r="P36" s="41"/>
      <c r="Q36" s="23"/>
      <c r="R36" s="168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 t="s">
        <v>68</v>
      </c>
      <c r="AE36" s="23">
        <v>2098</v>
      </c>
      <c r="AF36" s="23">
        <v>2098</v>
      </c>
      <c r="AG36" s="23">
        <v>2098</v>
      </c>
      <c r="AH36" s="23">
        <v>2098</v>
      </c>
      <c r="AI36" s="23">
        <v>2098</v>
      </c>
      <c r="AJ36" s="23">
        <v>2098</v>
      </c>
      <c r="AK36" s="23">
        <v>2098</v>
      </c>
      <c r="AL36" s="23">
        <v>2098</v>
      </c>
      <c r="AM36" s="23">
        <v>2098</v>
      </c>
      <c r="AN36" s="23">
        <v>2098</v>
      </c>
      <c r="AO36" s="23">
        <v>2098</v>
      </c>
      <c r="AP36" s="23">
        <v>2098</v>
      </c>
      <c r="AQ36" s="23">
        <v>2098</v>
      </c>
      <c r="AR36" s="23">
        <v>2098</v>
      </c>
      <c r="AS36" s="23">
        <v>2098</v>
      </c>
      <c r="AT36" s="23">
        <v>2098</v>
      </c>
      <c r="AU36" s="25">
        <v>2098</v>
      </c>
      <c r="AV36" s="25">
        <v>2097</v>
      </c>
      <c r="AW36" s="23">
        <v>2098</v>
      </c>
      <c r="AX36" s="23">
        <v>2098</v>
      </c>
      <c r="AY36" s="23">
        <v>2098</v>
      </c>
      <c r="AZ36" s="23">
        <v>2098</v>
      </c>
      <c r="BA36" s="23">
        <v>2098</v>
      </c>
      <c r="BB36" s="23">
        <v>2098</v>
      </c>
      <c r="BC36" s="23">
        <v>2098</v>
      </c>
      <c r="BD36" s="23">
        <v>2098</v>
      </c>
      <c r="BE36" s="53">
        <v>2098</v>
      </c>
      <c r="BF36" s="23" t="s">
        <v>68</v>
      </c>
      <c r="BG36" s="43">
        <v>2017</v>
      </c>
      <c r="BH36" s="53">
        <v>2017</v>
      </c>
      <c r="BI36" s="41"/>
      <c r="BJ36" s="41"/>
      <c r="BK36" s="41"/>
      <c r="BL36" s="41"/>
      <c r="BM36" s="37" t="s">
        <v>68</v>
      </c>
      <c r="BN36" s="42">
        <v>2063</v>
      </c>
      <c r="BO36" s="42">
        <v>2106</v>
      </c>
      <c r="BP36" s="41"/>
      <c r="BQ36" s="41"/>
      <c r="BR36" s="41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35"/>
      <c r="CD36" s="35"/>
      <c r="CE36" s="35"/>
      <c r="CF36" s="35"/>
      <c r="CG36" s="50"/>
      <c r="CH36" s="50"/>
    </row>
    <row r="37" spans="1:86" x14ac:dyDescent="0.25">
      <c r="A37" s="136">
        <v>30</v>
      </c>
      <c r="B37" s="49"/>
      <c r="C37" s="35" t="s">
        <v>113</v>
      </c>
      <c r="D37" s="35" t="s">
        <v>114</v>
      </c>
      <c r="E37" s="50"/>
      <c r="F37" s="23" t="s">
        <v>27</v>
      </c>
      <c r="G37" s="35" t="s">
        <v>115</v>
      </c>
      <c r="H37" s="35"/>
      <c r="I37" s="35"/>
      <c r="J37" s="35"/>
      <c r="K37" s="35"/>
      <c r="L37" s="35"/>
      <c r="M37" s="35"/>
      <c r="N37" s="41"/>
      <c r="O37" s="41"/>
      <c r="P37" s="41"/>
      <c r="Q37" s="41"/>
      <c r="R37" s="41"/>
      <c r="S37" s="41">
        <v>2067</v>
      </c>
      <c r="T37" s="41">
        <v>2067</v>
      </c>
      <c r="U37" s="41">
        <v>2067</v>
      </c>
      <c r="V37" s="41">
        <v>2067</v>
      </c>
      <c r="W37" s="41">
        <v>2067</v>
      </c>
      <c r="X37" s="41">
        <v>2067</v>
      </c>
      <c r="Y37" s="41">
        <v>2067</v>
      </c>
      <c r="Z37" s="41">
        <v>2067</v>
      </c>
      <c r="AA37" s="41">
        <v>2067</v>
      </c>
      <c r="AB37" s="41">
        <v>2067</v>
      </c>
      <c r="AC37" s="41">
        <v>2067</v>
      </c>
      <c r="AD37" s="140">
        <v>2067</v>
      </c>
      <c r="AE37" s="41">
        <v>2067</v>
      </c>
      <c r="AF37" s="41">
        <v>2067</v>
      </c>
      <c r="AG37" s="41">
        <v>2067</v>
      </c>
      <c r="AH37" s="137">
        <v>2067</v>
      </c>
      <c r="AI37" s="41">
        <v>2061</v>
      </c>
      <c r="AJ37" s="41">
        <v>2061</v>
      </c>
      <c r="AK37" s="41">
        <v>2061</v>
      </c>
      <c r="AL37" s="41">
        <v>2061</v>
      </c>
      <c r="AM37" s="41">
        <v>2061</v>
      </c>
      <c r="AN37" s="41">
        <v>2061</v>
      </c>
      <c r="AO37" s="41">
        <v>2061</v>
      </c>
      <c r="AP37" s="41">
        <v>2061</v>
      </c>
      <c r="AQ37" s="41">
        <v>2061</v>
      </c>
      <c r="AR37" s="51">
        <v>2061</v>
      </c>
      <c r="AS37" s="51">
        <v>2118</v>
      </c>
      <c r="AT37" s="41">
        <v>2116</v>
      </c>
      <c r="AU37" s="41">
        <v>2116</v>
      </c>
      <c r="AV37" s="41">
        <v>2116</v>
      </c>
      <c r="AW37" s="41">
        <v>2116</v>
      </c>
      <c r="AX37" s="41">
        <v>2116</v>
      </c>
      <c r="AY37" s="42">
        <v>2116</v>
      </c>
      <c r="AZ37" s="41"/>
      <c r="BA37" s="41"/>
      <c r="BB37" s="43"/>
      <c r="BC37" s="43"/>
      <c r="BD37" s="43"/>
      <c r="BE37" s="43"/>
      <c r="BF37" s="43"/>
      <c r="BG37" s="43"/>
      <c r="BH37" s="41"/>
      <c r="BI37" s="41"/>
      <c r="BJ37" s="41"/>
      <c r="BK37" s="41"/>
      <c r="BL37" s="37" t="s">
        <v>68</v>
      </c>
      <c r="BM37" s="41">
        <v>2081</v>
      </c>
      <c r="BN37" s="42">
        <v>2081</v>
      </c>
      <c r="BO37" s="41"/>
      <c r="BP37" s="41"/>
      <c r="BQ37" s="41"/>
      <c r="BR37" s="41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35"/>
      <c r="CD37" s="35"/>
      <c r="CE37" s="35"/>
      <c r="CF37" s="35"/>
      <c r="CG37" s="50"/>
      <c r="CH37" s="50"/>
    </row>
    <row r="38" spans="1:86" x14ac:dyDescent="0.25">
      <c r="A38" s="55">
        <v>31</v>
      </c>
      <c r="B38" s="55"/>
      <c r="C38" s="56" t="s">
        <v>116</v>
      </c>
      <c r="D38" s="56"/>
      <c r="E38" s="57"/>
      <c r="F38" s="23" t="s">
        <v>27</v>
      </c>
      <c r="G38" s="35"/>
      <c r="H38" s="56"/>
      <c r="I38" s="56" t="s">
        <v>117</v>
      </c>
      <c r="J38" s="56"/>
      <c r="K38" s="56"/>
      <c r="L38" s="56"/>
      <c r="M38" s="56"/>
      <c r="N38" s="154">
        <v>618012</v>
      </c>
      <c r="O38" s="154">
        <v>92199</v>
      </c>
      <c r="P38" s="58">
        <v>3451</v>
      </c>
      <c r="Q38" s="165"/>
      <c r="R38" s="168"/>
      <c r="S38" s="165" t="s">
        <v>361</v>
      </c>
      <c r="T38" s="58">
        <v>2015</v>
      </c>
      <c r="U38" s="58">
        <v>2015</v>
      </c>
      <c r="V38" s="58">
        <v>2015</v>
      </c>
      <c r="W38" s="58">
        <v>2015</v>
      </c>
      <c r="X38" s="58">
        <v>2015</v>
      </c>
      <c r="Y38" s="58">
        <v>2015</v>
      </c>
      <c r="Z38" s="58">
        <v>2015</v>
      </c>
      <c r="AA38" s="58">
        <v>2015</v>
      </c>
      <c r="AB38" s="58">
        <v>2015</v>
      </c>
      <c r="AC38" s="58">
        <v>2015</v>
      </c>
      <c r="AD38" s="148">
        <v>2015</v>
      </c>
      <c r="AE38" s="58">
        <v>2015</v>
      </c>
      <c r="AF38" s="58">
        <v>2015</v>
      </c>
      <c r="AG38" s="58">
        <v>2015</v>
      </c>
      <c r="AH38" s="58">
        <v>2015</v>
      </c>
      <c r="AI38" s="58">
        <v>2015</v>
      </c>
      <c r="AJ38" s="58">
        <v>2015</v>
      </c>
      <c r="AK38" s="58">
        <v>2015</v>
      </c>
      <c r="AL38" s="58">
        <v>2015</v>
      </c>
      <c r="AM38" s="58">
        <v>2015</v>
      </c>
      <c r="AN38" s="58">
        <v>2015</v>
      </c>
      <c r="AO38" s="58">
        <v>2015</v>
      </c>
      <c r="AP38" s="58">
        <v>2015</v>
      </c>
      <c r="AQ38" s="58">
        <v>2015</v>
      </c>
      <c r="AR38" s="58">
        <v>2015</v>
      </c>
      <c r="AS38" s="58">
        <v>2015</v>
      </c>
      <c r="AT38" s="59">
        <v>2015</v>
      </c>
      <c r="AU38" s="58">
        <v>2023</v>
      </c>
      <c r="AV38" s="58">
        <v>2023</v>
      </c>
      <c r="AW38" s="58">
        <v>2023</v>
      </c>
      <c r="AX38" s="58">
        <v>2023</v>
      </c>
      <c r="AY38" s="60">
        <v>2023</v>
      </c>
      <c r="AZ38" s="60">
        <v>2023</v>
      </c>
      <c r="BA38" s="60">
        <v>2023</v>
      </c>
      <c r="BB38" s="60">
        <v>2023</v>
      </c>
      <c r="BC38" s="60">
        <v>2023</v>
      </c>
      <c r="BD38" s="60">
        <v>2023</v>
      </c>
      <c r="BE38" s="60">
        <v>2023</v>
      </c>
      <c r="BF38" s="61">
        <v>2023</v>
      </c>
      <c r="BG38" s="60">
        <v>2023</v>
      </c>
      <c r="BH38" s="58">
        <v>2023</v>
      </c>
      <c r="BI38" s="62">
        <v>2023</v>
      </c>
      <c r="BJ38" s="58">
        <v>2025</v>
      </c>
      <c r="BK38" s="58">
        <v>2025</v>
      </c>
      <c r="BL38" s="58">
        <v>2025</v>
      </c>
      <c r="BM38" s="61">
        <v>2025</v>
      </c>
      <c r="BN38" s="58"/>
      <c r="BO38" s="58"/>
      <c r="BP38" s="58"/>
      <c r="BQ38" s="58"/>
      <c r="BR38" s="58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6"/>
      <c r="CD38" s="56"/>
      <c r="CE38" s="56"/>
      <c r="CF38" s="56"/>
      <c r="CG38" s="57"/>
      <c r="CH38" s="57"/>
    </row>
    <row r="39" spans="1:86" x14ac:dyDescent="0.25">
      <c r="A39" s="63">
        <v>32</v>
      </c>
      <c r="B39" s="64"/>
      <c r="C39" s="35" t="s">
        <v>118</v>
      </c>
      <c r="D39" s="65"/>
      <c r="E39" s="66"/>
      <c r="F39" s="23" t="s">
        <v>27</v>
      </c>
      <c r="G39" s="3"/>
      <c r="H39" s="65"/>
      <c r="I39" s="65" t="s">
        <v>119</v>
      </c>
      <c r="J39" s="35" t="s">
        <v>120</v>
      </c>
      <c r="K39" s="65"/>
      <c r="L39" s="65"/>
      <c r="M39" s="65"/>
      <c r="N39" s="41">
        <v>617964</v>
      </c>
      <c r="O39" s="41">
        <v>92180</v>
      </c>
      <c r="P39" s="67"/>
      <c r="Q39" s="67"/>
      <c r="R39" s="67"/>
      <c r="S39" s="67">
        <v>2019</v>
      </c>
      <c r="T39" s="67">
        <v>2019</v>
      </c>
      <c r="U39" s="67">
        <v>2019</v>
      </c>
      <c r="V39" s="67">
        <v>2019</v>
      </c>
      <c r="W39" s="67">
        <v>2019</v>
      </c>
      <c r="X39" s="67">
        <v>2019</v>
      </c>
      <c r="Y39" s="67">
        <v>2019</v>
      </c>
      <c r="Z39" s="67">
        <v>2019</v>
      </c>
      <c r="AA39" s="67">
        <v>2019</v>
      </c>
      <c r="AB39" s="67">
        <v>2019</v>
      </c>
      <c r="AC39" s="67">
        <v>2019</v>
      </c>
      <c r="AD39" s="143">
        <v>2019</v>
      </c>
      <c r="AE39" s="67">
        <v>2019</v>
      </c>
      <c r="AF39" s="67">
        <v>2019</v>
      </c>
      <c r="AG39" s="67">
        <v>2019</v>
      </c>
      <c r="AH39" s="67">
        <v>2019</v>
      </c>
      <c r="AI39" s="67">
        <v>2019</v>
      </c>
      <c r="AJ39" s="67">
        <v>2019</v>
      </c>
      <c r="AK39" s="67">
        <v>2019</v>
      </c>
      <c r="AL39" s="67">
        <v>2019</v>
      </c>
      <c r="AM39" s="67">
        <v>2019</v>
      </c>
      <c r="AN39" s="67">
        <v>2019</v>
      </c>
      <c r="AO39" s="67">
        <v>2019</v>
      </c>
      <c r="AP39" s="67">
        <v>2019</v>
      </c>
      <c r="AQ39" s="67">
        <v>2019</v>
      </c>
      <c r="AR39" s="67">
        <v>2019</v>
      </c>
      <c r="AS39" s="67">
        <v>2019</v>
      </c>
      <c r="AT39" s="67">
        <v>2019</v>
      </c>
      <c r="AU39" s="67">
        <v>2019</v>
      </c>
      <c r="AV39" s="67">
        <v>2019</v>
      </c>
      <c r="AW39" s="68">
        <v>2019</v>
      </c>
      <c r="AX39" s="67"/>
      <c r="AY39" s="67"/>
      <c r="AZ39" s="67"/>
      <c r="BA39" s="67"/>
      <c r="BB39" s="68" t="s">
        <v>68</v>
      </c>
      <c r="BC39" s="69">
        <v>6006</v>
      </c>
      <c r="BD39" s="69">
        <v>6006</v>
      </c>
      <c r="BE39" s="69">
        <v>6006</v>
      </c>
      <c r="BF39" s="69">
        <v>6006</v>
      </c>
      <c r="BG39" s="69">
        <v>6006</v>
      </c>
      <c r="BH39" s="70">
        <v>6006</v>
      </c>
      <c r="BJ39" s="67"/>
      <c r="BK39" s="67"/>
      <c r="BL39" s="67"/>
      <c r="BM39" s="67"/>
      <c r="BN39" s="67"/>
      <c r="BO39" s="67"/>
      <c r="BP39" s="67"/>
      <c r="BQ39" s="67"/>
      <c r="BR39" s="67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5"/>
      <c r="CD39" s="65"/>
      <c r="CE39" s="65"/>
      <c r="CF39" s="65"/>
      <c r="CG39" s="66"/>
      <c r="CH39" s="66"/>
    </row>
    <row r="40" spans="1:86" x14ac:dyDescent="0.25">
      <c r="A40" s="64">
        <v>33</v>
      </c>
      <c r="B40" s="64" t="s">
        <v>121</v>
      </c>
      <c r="C40" s="65" t="s">
        <v>122</v>
      </c>
      <c r="D40" s="65"/>
      <c r="E40" s="66"/>
      <c r="F40" s="65" t="s">
        <v>123</v>
      </c>
      <c r="G40" s="71" t="s">
        <v>124</v>
      </c>
      <c r="H40" s="65"/>
      <c r="I40" s="65"/>
      <c r="J40" s="65"/>
      <c r="K40" s="156" t="s">
        <v>263</v>
      </c>
      <c r="L40" s="65"/>
      <c r="M40" s="65"/>
      <c r="N40" s="152">
        <v>2617961</v>
      </c>
      <c r="O40" s="152">
        <v>1092175</v>
      </c>
      <c r="P40" s="67">
        <v>3487</v>
      </c>
      <c r="Q40" s="67"/>
      <c r="R40" s="67"/>
      <c r="S40" s="67">
        <v>3016</v>
      </c>
      <c r="T40" s="67">
        <v>3016</v>
      </c>
      <c r="U40" s="67">
        <v>3016</v>
      </c>
      <c r="V40" s="67">
        <v>3016</v>
      </c>
      <c r="W40" s="67">
        <v>3016</v>
      </c>
      <c r="X40" s="67">
        <v>3016</v>
      </c>
      <c r="Y40" s="67">
        <v>3016</v>
      </c>
      <c r="Z40" s="67">
        <v>3016</v>
      </c>
      <c r="AA40" s="67">
        <v>3016</v>
      </c>
      <c r="AB40" s="67">
        <v>3016</v>
      </c>
      <c r="AC40" s="67">
        <v>3016</v>
      </c>
      <c r="AD40" s="143">
        <v>3016</v>
      </c>
      <c r="AE40" s="67">
        <v>3016</v>
      </c>
      <c r="AF40" s="67">
        <v>3016</v>
      </c>
      <c r="AG40" s="67">
        <v>3016</v>
      </c>
      <c r="AH40" s="67">
        <v>3016</v>
      </c>
      <c r="AI40" s="67">
        <v>3016</v>
      </c>
      <c r="AJ40" s="67">
        <v>3016</v>
      </c>
      <c r="AK40" s="67">
        <v>3016</v>
      </c>
      <c r="AL40" s="72">
        <v>3016</v>
      </c>
      <c r="AM40" s="67">
        <v>3023</v>
      </c>
      <c r="AN40" s="72">
        <v>3023</v>
      </c>
      <c r="AO40" s="67"/>
      <c r="AP40" s="67" t="s">
        <v>68</v>
      </c>
      <c r="AQ40" s="67">
        <v>3016</v>
      </c>
      <c r="AR40" s="67">
        <v>3016</v>
      </c>
      <c r="AS40" s="67">
        <v>3016</v>
      </c>
      <c r="AT40" s="67">
        <v>3016</v>
      </c>
      <c r="AU40" s="67">
        <v>3016</v>
      </c>
      <c r="AV40" s="67">
        <v>3016</v>
      </c>
      <c r="AW40" s="67">
        <v>3016</v>
      </c>
      <c r="AX40" s="67">
        <v>3016</v>
      </c>
      <c r="AY40" s="69">
        <v>3016</v>
      </c>
      <c r="AZ40" s="69">
        <v>3016</v>
      </c>
      <c r="BA40" s="69">
        <v>3016</v>
      </c>
      <c r="BB40" s="69">
        <v>3016</v>
      </c>
      <c r="BC40" s="69">
        <v>3016</v>
      </c>
      <c r="BD40" s="69">
        <v>3016</v>
      </c>
      <c r="BE40" s="69">
        <v>3016</v>
      </c>
      <c r="BF40" s="69">
        <v>3016</v>
      </c>
      <c r="BG40" s="69">
        <v>3016</v>
      </c>
      <c r="BH40" s="70">
        <v>3016</v>
      </c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5"/>
      <c r="CD40" s="65"/>
      <c r="CE40" s="65"/>
      <c r="CF40" s="65"/>
      <c r="CG40" s="66"/>
      <c r="CH40" s="66"/>
    </row>
    <row r="41" spans="1:86" x14ac:dyDescent="0.25">
      <c r="A41" s="63">
        <v>34</v>
      </c>
      <c r="B41" s="64" t="s">
        <v>125</v>
      </c>
      <c r="C41" s="65" t="s">
        <v>126</v>
      </c>
      <c r="D41" s="65"/>
      <c r="E41" s="66"/>
      <c r="F41" s="65" t="s">
        <v>123</v>
      </c>
      <c r="G41" s="71" t="s">
        <v>124</v>
      </c>
      <c r="H41" s="65"/>
      <c r="I41" s="65" t="s">
        <v>293</v>
      </c>
      <c r="J41" s="65" t="s">
        <v>127</v>
      </c>
      <c r="K41" s="156" t="s">
        <v>264</v>
      </c>
      <c r="L41" s="65"/>
      <c r="M41" s="65"/>
      <c r="N41" s="152">
        <v>2618001</v>
      </c>
      <c r="O41" s="152">
        <v>1092197</v>
      </c>
      <c r="P41" s="67">
        <v>3463</v>
      </c>
      <c r="R41" s="168"/>
      <c r="S41" s="2">
        <v>3015</v>
      </c>
      <c r="T41" s="2">
        <v>3015</v>
      </c>
      <c r="U41" s="2">
        <v>3015</v>
      </c>
      <c r="V41" s="2">
        <v>3015</v>
      </c>
      <c r="W41" s="2">
        <v>3015</v>
      </c>
      <c r="X41" s="2">
        <v>3015</v>
      </c>
      <c r="Y41" s="2">
        <v>3015</v>
      </c>
      <c r="Z41" s="2">
        <v>3015</v>
      </c>
      <c r="AA41" s="2">
        <v>3015</v>
      </c>
      <c r="AB41" s="2">
        <v>3015</v>
      </c>
      <c r="AC41" s="2">
        <v>3015</v>
      </c>
      <c r="AD41" s="141">
        <v>3015</v>
      </c>
      <c r="AE41" s="2">
        <v>3015</v>
      </c>
      <c r="AF41" s="2">
        <v>3015</v>
      </c>
      <c r="AG41" s="2">
        <v>3015</v>
      </c>
      <c r="AH41" s="2">
        <v>3015</v>
      </c>
      <c r="AI41" s="2">
        <v>3015</v>
      </c>
      <c r="AJ41" s="2">
        <v>3015</v>
      </c>
      <c r="AK41" s="2">
        <v>3015</v>
      </c>
      <c r="AL41" s="2">
        <v>3015</v>
      </c>
      <c r="AM41" s="2">
        <v>3015</v>
      </c>
      <c r="AN41" s="2">
        <v>3015</v>
      </c>
      <c r="AO41" s="2">
        <v>3015</v>
      </c>
      <c r="AP41" s="2">
        <v>3015</v>
      </c>
      <c r="AQ41" s="2">
        <v>3015</v>
      </c>
      <c r="AR41" s="2">
        <v>3015</v>
      </c>
      <c r="AS41" s="2">
        <v>3015</v>
      </c>
      <c r="AT41" s="2">
        <v>3015</v>
      </c>
      <c r="AU41" s="2">
        <v>3015</v>
      </c>
      <c r="AV41" s="2">
        <v>3015</v>
      </c>
      <c r="AW41" s="2">
        <v>3015</v>
      </c>
      <c r="AX41" s="2">
        <v>3015</v>
      </c>
      <c r="AY41" s="2">
        <v>3015</v>
      </c>
      <c r="AZ41" s="2">
        <v>3015</v>
      </c>
      <c r="BA41" s="2">
        <v>3015</v>
      </c>
      <c r="BB41" s="2">
        <v>3015</v>
      </c>
      <c r="BC41" s="2">
        <v>3015</v>
      </c>
      <c r="BD41" s="2">
        <v>3015</v>
      </c>
      <c r="BE41" s="2">
        <v>3015</v>
      </c>
      <c r="BF41" s="2">
        <v>3015</v>
      </c>
      <c r="BG41" s="2">
        <v>3015</v>
      </c>
      <c r="BH41" s="2">
        <v>3015</v>
      </c>
      <c r="BI41" s="70">
        <v>3015</v>
      </c>
      <c r="BJ41" s="67"/>
      <c r="BK41" s="67"/>
      <c r="BL41" s="67"/>
      <c r="BM41" s="67"/>
      <c r="BN41" s="67"/>
      <c r="BO41" s="67"/>
      <c r="BP41" s="67"/>
      <c r="BQ41" s="67"/>
      <c r="BR41" s="67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5"/>
      <c r="CD41" s="65"/>
      <c r="CE41" s="65"/>
      <c r="CF41" s="65"/>
      <c r="CG41" s="66"/>
      <c r="CH41" s="66"/>
    </row>
    <row r="42" spans="1:86" x14ac:dyDescent="0.25">
      <c r="A42" s="63">
        <v>35</v>
      </c>
      <c r="B42" s="64" t="s">
        <v>128</v>
      </c>
      <c r="C42" s="65" t="s">
        <v>304</v>
      </c>
      <c r="D42" s="65"/>
      <c r="E42" s="66"/>
      <c r="F42" s="65" t="s">
        <v>123</v>
      </c>
      <c r="G42" s="73" t="s">
        <v>124</v>
      </c>
      <c r="H42" s="65"/>
      <c r="I42" s="65" t="s">
        <v>293</v>
      </c>
      <c r="J42" s="65" t="s">
        <v>127</v>
      </c>
      <c r="K42" s="156" t="s">
        <v>265</v>
      </c>
      <c r="L42" s="65"/>
      <c r="M42" s="65"/>
      <c r="N42" s="152">
        <v>2617909</v>
      </c>
      <c r="O42" s="152">
        <v>1092124</v>
      </c>
      <c r="P42" s="67">
        <v>3538</v>
      </c>
      <c r="Q42" s="67"/>
      <c r="R42" s="67"/>
      <c r="S42" s="67">
        <v>3010</v>
      </c>
      <c r="T42" s="67">
        <v>3010</v>
      </c>
      <c r="U42" s="67">
        <v>3010</v>
      </c>
      <c r="V42" s="67">
        <v>3010</v>
      </c>
      <c r="W42" s="67">
        <v>3010</v>
      </c>
      <c r="X42" s="144">
        <v>3010</v>
      </c>
      <c r="Y42" s="144">
        <v>3513</v>
      </c>
      <c r="Z42" s="67">
        <v>3010</v>
      </c>
      <c r="AA42" s="67">
        <v>3010</v>
      </c>
      <c r="AB42" s="67">
        <v>3010</v>
      </c>
      <c r="AC42" s="67">
        <v>3010</v>
      </c>
      <c r="AD42" s="143">
        <v>3010</v>
      </c>
      <c r="AE42" s="67">
        <v>3010</v>
      </c>
      <c r="AF42" s="67">
        <v>3010</v>
      </c>
      <c r="AG42" s="67">
        <v>3010</v>
      </c>
      <c r="AH42" s="67">
        <v>3010</v>
      </c>
      <c r="AI42" s="67">
        <v>3010</v>
      </c>
      <c r="AJ42" s="67">
        <v>3010</v>
      </c>
      <c r="AK42" s="67">
        <v>3010</v>
      </c>
      <c r="AL42" s="72">
        <v>3010</v>
      </c>
      <c r="AM42" s="67">
        <v>3031</v>
      </c>
      <c r="AN42" s="67">
        <v>3031</v>
      </c>
      <c r="AO42" s="72">
        <v>3031</v>
      </c>
      <c r="AP42" s="67">
        <v>3023</v>
      </c>
      <c r="AQ42" s="67">
        <v>3023</v>
      </c>
      <c r="AR42" s="67">
        <v>3023</v>
      </c>
      <c r="AS42" s="67">
        <v>3023</v>
      </c>
      <c r="AT42" s="67">
        <v>3023</v>
      </c>
      <c r="AU42" s="68">
        <v>3023</v>
      </c>
      <c r="AV42" s="74">
        <v>13027</v>
      </c>
      <c r="AW42" s="67">
        <v>3027</v>
      </c>
      <c r="AX42" s="67">
        <v>3027</v>
      </c>
      <c r="AY42" s="67">
        <v>3027</v>
      </c>
      <c r="AZ42" s="68">
        <v>3027</v>
      </c>
      <c r="BA42" s="67">
        <v>3003</v>
      </c>
      <c r="BB42" s="68">
        <v>3003</v>
      </c>
      <c r="BC42" s="43"/>
      <c r="BD42" s="43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5"/>
      <c r="CD42" s="65"/>
      <c r="CE42" s="65"/>
      <c r="CF42" s="65"/>
      <c r="CG42" s="66"/>
      <c r="CH42" s="66"/>
    </row>
    <row r="43" spans="1:86" x14ac:dyDescent="0.25">
      <c r="A43" s="54">
        <v>36</v>
      </c>
      <c r="B43" s="64" t="s">
        <v>129</v>
      </c>
      <c r="C43" s="65" t="s">
        <v>130</v>
      </c>
      <c r="D43" s="65" t="s">
        <v>271</v>
      </c>
      <c r="E43" s="66" t="s">
        <v>131</v>
      </c>
      <c r="F43" s="66" t="s">
        <v>132</v>
      </c>
      <c r="G43" s="35" t="s">
        <v>133</v>
      </c>
      <c r="H43" s="65" t="s">
        <v>134</v>
      </c>
      <c r="I43" s="65"/>
      <c r="J43" s="65"/>
      <c r="K43" s="65"/>
      <c r="L43" s="65"/>
      <c r="M43" s="65"/>
      <c r="N43" s="152">
        <v>617979</v>
      </c>
      <c r="O43" s="152">
        <v>92175</v>
      </c>
      <c r="P43" s="23">
        <v>3474</v>
      </c>
      <c r="Q43" s="67"/>
      <c r="S43" s="67" t="s">
        <v>135</v>
      </c>
      <c r="T43" s="67" t="s">
        <v>135</v>
      </c>
      <c r="U43" s="67" t="s">
        <v>135</v>
      </c>
      <c r="V43" s="67" t="s">
        <v>135</v>
      </c>
      <c r="W43" s="67" t="s">
        <v>135</v>
      </c>
      <c r="X43" s="67" t="s">
        <v>135</v>
      </c>
      <c r="Y43" s="67" t="s">
        <v>135</v>
      </c>
      <c r="Z43" s="67" t="s">
        <v>135</v>
      </c>
      <c r="AA43" s="67" t="s">
        <v>135</v>
      </c>
      <c r="AB43" s="67" t="s">
        <v>135</v>
      </c>
      <c r="AC43" s="67" t="s">
        <v>135</v>
      </c>
      <c r="AD43" s="67" t="s">
        <v>135</v>
      </c>
      <c r="AE43" s="67" t="s">
        <v>135</v>
      </c>
      <c r="AF43" s="67" t="s">
        <v>135</v>
      </c>
      <c r="AG43" s="67" t="s">
        <v>135</v>
      </c>
      <c r="AH43" s="67" t="s">
        <v>135</v>
      </c>
      <c r="AI43" s="67" t="s">
        <v>135</v>
      </c>
      <c r="AJ43" s="67" t="s">
        <v>135</v>
      </c>
      <c r="AK43" s="67" t="s">
        <v>135</v>
      </c>
      <c r="AL43" s="72" t="s">
        <v>135</v>
      </c>
      <c r="AM43" s="67" t="s">
        <v>68</v>
      </c>
      <c r="AN43" s="67" t="s">
        <v>135</v>
      </c>
      <c r="AO43" s="67" t="s">
        <v>135</v>
      </c>
      <c r="AP43" s="67" t="s">
        <v>135</v>
      </c>
      <c r="AQ43" s="67" t="s">
        <v>135</v>
      </c>
      <c r="AR43" s="67" t="s">
        <v>135</v>
      </c>
      <c r="AS43" s="67" t="s">
        <v>135</v>
      </c>
      <c r="AT43" s="67" t="s">
        <v>135</v>
      </c>
      <c r="AU43" s="67" t="s">
        <v>135</v>
      </c>
      <c r="AV43" s="67" t="s">
        <v>135</v>
      </c>
      <c r="AW43" s="67" t="s">
        <v>135</v>
      </c>
      <c r="AX43" s="67" t="s">
        <v>135</v>
      </c>
      <c r="AY43" s="67" t="s">
        <v>135</v>
      </c>
      <c r="AZ43" s="67" t="s">
        <v>135</v>
      </c>
      <c r="BA43" s="67" t="s">
        <v>135</v>
      </c>
      <c r="BB43" s="67" t="s">
        <v>135</v>
      </c>
      <c r="BC43" s="67" t="s">
        <v>135</v>
      </c>
      <c r="BD43" s="70" t="s">
        <v>135</v>
      </c>
      <c r="BE43" s="67" t="s">
        <v>68</v>
      </c>
      <c r="BF43" s="68" t="s">
        <v>135</v>
      </c>
      <c r="BG43" s="70" t="s">
        <v>135</v>
      </c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5"/>
      <c r="CD43" s="65"/>
      <c r="CE43" s="65"/>
      <c r="CF43" s="65"/>
      <c r="CG43" s="66"/>
      <c r="CH43" s="66"/>
    </row>
    <row r="44" spans="1:86" x14ac:dyDescent="0.25">
      <c r="A44" s="54">
        <v>37</v>
      </c>
      <c r="B44" s="64"/>
      <c r="C44" s="65" t="s">
        <v>130</v>
      </c>
      <c r="D44" s="65"/>
      <c r="E44" s="66"/>
      <c r="F44" s="23" t="s">
        <v>27</v>
      </c>
      <c r="G44" s="35"/>
      <c r="H44" s="65"/>
      <c r="I44" s="65"/>
      <c r="J44" s="65"/>
      <c r="K44" s="65"/>
      <c r="L44" s="65"/>
      <c r="M44" s="65"/>
      <c r="N44" s="152">
        <v>617979</v>
      </c>
      <c r="O44" s="152">
        <v>92175</v>
      </c>
      <c r="P44" s="23">
        <v>3474</v>
      </c>
      <c r="Q44" s="67"/>
      <c r="S44" s="67">
        <v>2007</v>
      </c>
      <c r="T44" s="67">
        <v>2007</v>
      </c>
      <c r="U44" s="67">
        <v>2007</v>
      </c>
      <c r="V44" s="67">
        <v>2007</v>
      </c>
      <c r="W44" s="67">
        <v>2007</v>
      </c>
      <c r="X44" s="67">
        <v>2007</v>
      </c>
      <c r="Y44" s="67">
        <v>2007</v>
      </c>
      <c r="Z44" s="67">
        <v>2007</v>
      </c>
      <c r="AA44" s="67">
        <v>2007</v>
      </c>
      <c r="AB44" s="67">
        <v>2007</v>
      </c>
      <c r="AC44" s="67">
        <v>2007</v>
      </c>
      <c r="AD44" s="143">
        <v>2007</v>
      </c>
      <c r="AE44" s="67">
        <v>2007</v>
      </c>
      <c r="AF44" s="67">
        <v>2007</v>
      </c>
      <c r="AG44" s="67">
        <v>2007</v>
      </c>
      <c r="AH44" s="67">
        <v>2007</v>
      </c>
      <c r="AI44" s="67">
        <v>2007</v>
      </c>
      <c r="AJ44" s="67">
        <v>2007</v>
      </c>
      <c r="AK44" s="67">
        <v>2007</v>
      </c>
      <c r="AL44" s="72">
        <v>2007</v>
      </c>
      <c r="AM44" s="67" t="s">
        <v>68</v>
      </c>
      <c r="AN44" s="41">
        <v>2007</v>
      </c>
      <c r="AO44" s="41">
        <v>2007</v>
      </c>
      <c r="AP44" s="41">
        <v>2007</v>
      </c>
      <c r="AQ44" s="41">
        <v>2007</v>
      </c>
      <c r="AR44" s="41">
        <v>2007</v>
      </c>
      <c r="AS44" s="41">
        <v>2007</v>
      </c>
      <c r="AT44" s="41">
        <v>2007</v>
      </c>
      <c r="AU44" s="41">
        <v>2007</v>
      </c>
      <c r="AV44" s="41">
        <v>2007</v>
      </c>
      <c r="AW44" s="41">
        <v>2007</v>
      </c>
      <c r="AX44" s="41">
        <v>2007</v>
      </c>
      <c r="AY44" s="41">
        <v>2007</v>
      </c>
      <c r="AZ44" s="41">
        <v>2007</v>
      </c>
      <c r="BA44" s="41">
        <v>2007</v>
      </c>
      <c r="BB44" s="41">
        <v>2007</v>
      </c>
      <c r="BC44" s="41">
        <v>2007</v>
      </c>
      <c r="BD44" s="53">
        <v>2007</v>
      </c>
      <c r="BE44" s="67">
        <v>0</v>
      </c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5"/>
      <c r="CD44" s="65"/>
      <c r="CE44" s="65"/>
      <c r="CF44" s="65"/>
      <c r="CG44" s="66"/>
      <c r="CH44" s="66"/>
    </row>
    <row r="45" spans="1:86" x14ac:dyDescent="0.25">
      <c r="A45" s="55">
        <v>38</v>
      </c>
      <c r="B45" s="64" t="s">
        <v>136</v>
      </c>
      <c r="C45" s="65" t="s">
        <v>137</v>
      </c>
      <c r="D45" s="65" t="s">
        <v>270</v>
      </c>
      <c r="E45" s="66" t="s">
        <v>138</v>
      </c>
      <c r="F45" s="65"/>
      <c r="G45" s="66" t="s">
        <v>139</v>
      </c>
      <c r="H45" s="65" t="s">
        <v>134</v>
      </c>
      <c r="I45" s="65"/>
      <c r="J45" s="65"/>
      <c r="K45" s="65"/>
      <c r="L45" s="65"/>
      <c r="M45" s="65"/>
      <c r="N45" s="152">
        <v>617984</v>
      </c>
      <c r="O45" s="152">
        <v>92173</v>
      </c>
      <c r="P45" s="23">
        <v>3479</v>
      </c>
      <c r="Q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 t="s">
        <v>68</v>
      </c>
      <c r="AM45" s="67" t="s">
        <v>135</v>
      </c>
      <c r="AN45" s="67" t="s">
        <v>135</v>
      </c>
      <c r="AO45" s="67" t="s">
        <v>135</v>
      </c>
      <c r="AP45" s="67" t="s">
        <v>135</v>
      </c>
      <c r="AQ45" s="72" t="s">
        <v>135</v>
      </c>
      <c r="AR45" s="67" t="s">
        <v>135</v>
      </c>
      <c r="AS45" s="67" t="s">
        <v>135</v>
      </c>
      <c r="AT45" s="67" t="s">
        <v>135</v>
      </c>
      <c r="AU45" s="67" t="s">
        <v>135</v>
      </c>
      <c r="AV45" s="67" t="s">
        <v>135</v>
      </c>
      <c r="AW45" s="67" t="s">
        <v>135</v>
      </c>
      <c r="AX45" s="67" t="s">
        <v>135</v>
      </c>
      <c r="AY45" s="67" t="s">
        <v>135</v>
      </c>
      <c r="AZ45" s="67" t="s">
        <v>135</v>
      </c>
      <c r="BA45" s="67" t="s">
        <v>135</v>
      </c>
      <c r="BB45" s="67" t="s">
        <v>135</v>
      </c>
      <c r="BC45" s="67" t="s">
        <v>135</v>
      </c>
      <c r="BD45" s="70" t="s">
        <v>135</v>
      </c>
      <c r="BE45" s="67" t="s">
        <v>68</v>
      </c>
      <c r="BF45" s="68" t="s">
        <v>135</v>
      </c>
      <c r="BG45" s="70" t="s">
        <v>135</v>
      </c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5"/>
      <c r="CD45" s="65"/>
      <c r="CE45" s="65"/>
      <c r="CF45" s="65"/>
      <c r="CG45" s="66"/>
      <c r="CH45" s="66"/>
    </row>
    <row r="46" spans="1:86" x14ac:dyDescent="0.25">
      <c r="A46" s="55">
        <v>39</v>
      </c>
      <c r="B46" s="64"/>
      <c r="C46" s="65" t="s">
        <v>137</v>
      </c>
      <c r="D46" s="65"/>
      <c r="E46" s="66"/>
      <c r="F46" s="23" t="s">
        <v>27</v>
      </c>
      <c r="G46" s="35"/>
      <c r="H46" s="65"/>
      <c r="I46" s="65"/>
      <c r="J46" s="65"/>
      <c r="K46" s="65"/>
      <c r="L46" s="65"/>
      <c r="M46" s="65"/>
      <c r="N46" s="152">
        <v>617984</v>
      </c>
      <c r="O46" s="152">
        <v>92173</v>
      </c>
      <c r="P46" s="23">
        <v>3479</v>
      </c>
      <c r="Q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 t="s">
        <v>68</v>
      </c>
      <c r="AM46" s="41">
        <v>2020</v>
      </c>
      <c r="AN46" s="41">
        <v>2020</v>
      </c>
      <c r="AO46" s="41">
        <v>2020</v>
      </c>
      <c r="AP46" s="41">
        <v>2020</v>
      </c>
      <c r="AQ46" s="51">
        <v>2020</v>
      </c>
      <c r="AR46" s="41">
        <v>2020</v>
      </c>
      <c r="AS46" s="41">
        <v>2020</v>
      </c>
      <c r="AT46" s="41">
        <v>2020</v>
      </c>
      <c r="AU46" s="41">
        <v>2020</v>
      </c>
      <c r="AV46" s="41">
        <v>2020</v>
      </c>
      <c r="AW46" s="41">
        <v>2020</v>
      </c>
      <c r="AX46" s="41">
        <v>2020</v>
      </c>
      <c r="AY46" s="41">
        <v>2020</v>
      </c>
      <c r="AZ46" s="41">
        <v>2020</v>
      </c>
      <c r="BA46" s="41">
        <v>2020</v>
      </c>
      <c r="BB46" s="41">
        <v>2020</v>
      </c>
      <c r="BC46" s="41">
        <v>2020</v>
      </c>
      <c r="BD46" s="53">
        <v>2020</v>
      </c>
      <c r="BE46" s="67">
        <v>0</v>
      </c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5"/>
      <c r="CD46" s="65"/>
      <c r="CE46" s="65"/>
      <c r="CF46" s="65"/>
      <c r="CG46" s="66"/>
      <c r="CH46" s="66"/>
    </row>
    <row r="47" spans="1:86" x14ac:dyDescent="0.25">
      <c r="A47" s="167">
        <v>40</v>
      </c>
      <c r="B47" s="64" t="s">
        <v>140</v>
      </c>
      <c r="C47" s="65" t="s">
        <v>266</v>
      </c>
      <c r="D47" s="65"/>
      <c r="E47" s="66" t="s">
        <v>141</v>
      </c>
      <c r="F47" s="13" t="s">
        <v>24</v>
      </c>
      <c r="G47" s="65" t="s">
        <v>142</v>
      </c>
      <c r="H47" s="65" t="s">
        <v>143</v>
      </c>
      <c r="I47" s="65"/>
      <c r="J47" s="65"/>
      <c r="K47" s="65"/>
      <c r="L47" s="65"/>
      <c r="M47" s="65"/>
      <c r="N47" s="152">
        <v>2617957</v>
      </c>
      <c r="O47" s="152">
        <v>1092175</v>
      </c>
      <c r="P47" s="67">
        <v>3489</v>
      </c>
      <c r="Q47" s="160"/>
      <c r="R47" s="168"/>
      <c r="S47" s="160">
        <v>14</v>
      </c>
      <c r="T47" s="67" t="s">
        <v>68</v>
      </c>
      <c r="U47" s="67">
        <v>30</v>
      </c>
      <c r="V47" s="67">
        <v>30</v>
      </c>
      <c r="W47" s="67">
        <v>30</v>
      </c>
      <c r="X47" s="67">
        <v>30</v>
      </c>
      <c r="Y47" s="67">
        <v>30</v>
      </c>
      <c r="Z47" s="67">
        <v>30</v>
      </c>
      <c r="AA47" s="67">
        <v>30</v>
      </c>
      <c r="AB47" s="67">
        <v>30</v>
      </c>
      <c r="AC47" s="67">
        <v>30</v>
      </c>
      <c r="AD47" s="144">
        <v>30</v>
      </c>
      <c r="AE47" s="67">
        <v>22</v>
      </c>
      <c r="AF47" s="67">
        <v>22</v>
      </c>
      <c r="AG47" s="67">
        <v>22</v>
      </c>
      <c r="AH47" s="67">
        <v>22</v>
      </c>
      <c r="AI47" s="67">
        <v>22</v>
      </c>
      <c r="AJ47" s="67">
        <v>22</v>
      </c>
      <c r="AK47" s="67">
        <v>22</v>
      </c>
      <c r="AL47" s="67">
        <v>22</v>
      </c>
      <c r="AM47" s="67">
        <v>22</v>
      </c>
      <c r="AN47" s="67">
        <v>22</v>
      </c>
      <c r="AO47" s="67">
        <v>22</v>
      </c>
      <c r="AP47" s="67">
        <v>22</v>
      </c>
      <c r="AQ47" s="67">
        <v>22</v>
      </c>
      <c r="AR47" s="67">
        <v>22</v>
      </c>
      <c r="AS47" s="67">
        <v>22</v>
      </c>
      <c r="AT47" s="67">
        <v>22</v>
      </c>
      <c r="AU47" s="67">
        <v>22</v>
      </c>
      <c r="AV47" s="67">
        <v>22</v>
      </c>
      <c r="AW47" s="67">
        <v>22</v>
      </c>
      <c r="AX47" s="67">
        <v>22</v>
      </c>
      <c r="AY47" s="67">
        <v>22</v>
      </c>
      <c r="AZ47" s="67">
        <v>22</v>
      </c>
      <c r="BA47" s="68">
        <v>22</v>
      </c>
      <c r="BB47" s="67">
        <v>0</v>
      </c>
      <c r="BC47" s="43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5"/>
      <c r="CD47" s="65"/>
      <c r="CE47" s="65"/>
      <c r="CF47" s="65"/>
      <c r="CG47" s="66"/>
      <c r="CH47" s="66"/>
    </row>
    <row r="48" spans="1:86" x14ac:dyDescent="0.25">
      <c r="A48" s="75">
        <v>41</v>
      </c>
      <c r="B48" s="76"/>
      <c r="C48" s="77" t="s">
        <v>144</v>
      </c>
      <c r="D48" s="159" t="s">
        <v>295</v>
      </c>
      <c r="E48" s="79"/>
      <c r="F48" s="79" t="s">
        <v>98</v>
      </c>
      <c r="G48" s="78"/>
      <c r="H48" s="65"/>
      <c r="I48" s="78"/>
      <c r="J48" s="78"/>
      <c r="K48" s="78"/>
      <c r="L48" s="78"/>
      <c r="M48" s="78"/>
      <c r="N48" s="155"/>
      <c r="O48" s="155"/>
      <c r="P48" s="80"/>
      <c r="Q48" s="80"/>
      <c r="R48" s="80"/>
      <c r="S48" s="80">
        <v>6016</v>
      </c>
      <c r="T48" s="80">
        <v>6016</v>
      </c>
      <c r="U48" s="80">
        <v>6016</v>
      </c>
      <c r="V48" s="80">
        <v>6016</v>
      </c>
      <c r="W48" s="80">
        <v>6016</v>
      </c>
      <c r="X48" s="80">
        <v>6016</v>
      </c>
      <c r="Y48" s="80">
        <v>6016</v>
      </c>
      <c r="Z48" s="80">
        <v>6016</v>
      </c>
      <c r="AA48" s="80">
        <v>6016</v>
      </c>
      <c r="AB48" s="80">
        <v>6016</v>
      </c>
      <c r="AC48" s="80">
        <v>6016</v>
      </c>
      <c r="AD48" s="80">
        <v>6016</v>
      </c>
      <c r="AE48" s="80">
        <v>6016</v>
      </c>
      <c r="AF48" s="80">
        <v>6016</v>
      </c>
      <c r="AG48" s="80">
        <v>6016</v>
      </c>
      <c r="AH48" s="80">
        <v>6016</v>
      </c>
      <c r="AI48" s="80">
        <v>6016</v>
      </c>
      <c r="AJ48" s="80">
        <v>6016</v>
      </c>
      <c r="AK48" s="80">
        <v>6016</v>
      </c>
      <c r="AL48" s="80">
        <v>6016</v>
      </c>
      <c r="AM48" s="80">
        <v>6016</v>
      </c>
      <c r="AN48" s="80">
        <v>6016</v>
      </c>
      <c r="AO48" s="80">
        <v>6016</v>
      </c>
      <c r="AP48" s="80">
        <v>6016</v>
      </c>
      <c r="AQ48" s="80">
        <v>6016</v>
      </c>
      <c r="AR48" s="80">
        <v>6016</v>
      </c>
      <c r="AS48" s="80">
        <v>6016</v>
      </c>
      <c r="AT48" s="80">
        <v>6016</v>
      </c>
      <c r="AU48" s="80">
        <v>6016</v>
      </c>
      <c r="AV48" s="80">
        <v>6016</v>
      </c>
      <c r="AW48" s="80">
        <v>6016</v>
      </c>
      <c r="AX48" s="81">
        <v>6016</v>
      </c>
      <c r="AY48" s="67">
        <v>0</v>
      </c>
      <c r="AZ48" s="80"/>
      <c r="BA48" s="79"/>
      <c r="BB48" s="80"/>
      <c r="BC48" s="82"/>
      <c r="BD48" s="80"/>
      <c r="BE48" s="80"/>
      <c r="BF48" s="80"/>
      <c r="BG48" s="80"/>
      <c r="BH48" s="80"/>
      <c r="BI48" s="80"/>
      <c r="BJ48" s="83"/>
      <c r="BK48" s="80"/>
      <c r="BL48" s="80"/>
      <c r="BM48" s="80"/>
      <c r="BN48" s="80"/>
      <c r="BO48" s="80"/>
      <c r="BP48" s="80"/>
      <c r="BQ48" s="80"/>
      <c r="BR48" s="80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8"/>
      <c r="CD48" s="78"/>
      <c r="CE48" s="78"/>
      <c r="CF48" s="78"/>
      <c r="CG48" s="79"/>
      <c r="CH48" s="79"/>
    </row>
    <row r="49" spans="1:86" ht="12.75" customHeight="1" x14ac:dyDescent="0.25">
      <c r="A49" s="75">
        <v>42</v>
      </c>
      <c r="B49" s="76" t="s">
        <v>145</v>
      </c>
      <c r="C49" s="84" t="s">
        <v>146</v>
      </c>
      <c r="D49" s="78"/>
      <c r="E49" s="79" t="s">
        <v>147</v>
      </c>
      <c r="F49" s="79" t="s">
        <v>148</v>
      </c>
      <c r="G49" s="78" t="s">
        <v>124</v>
      </c>
      <c r="H49" s="78"/>
      <c r="I49" s="78"/>
      <c r="J49" s="78"/>
      <c r="K49" s="78"/>
      <c r="L49" s="78"/>
      <c r="M49" s="78"/>
      <c r="N49" s="155">
        <v>2618013</v>
      </c>
      <c r="O49" s="155">
        <v>1092201</v>
      </c>
      <c r="P49" s="80">
        <v>3463</v>
      </c>
      <c r="Q49" s="79"/>
      <c r="R49" s="80"/>
      <c r="S49" s="79">
        <v>4000</v>
      </c>
      <c r="T49" s="79">
        <v>4000</v>
      </c>
      <c r="U49" s="79">
        <v>4000</v>
      </c>
      <c r="V49" s="79">
        <v>4000</v>
      </c>
      <c r="W49" s="79">
        <v>4000</v>
      </c>
      <c r="X49" s="79">
        <v>4000</v>
      </c>
      <c r="Y49" s="79">
        <v>4000</v>
      </c>
      <c r="Z49" s="79">
        <v>4000</v>
      </c>
      <c r="AA49" s="79">
        <v>4000</v>
      </c>
      <c r="AB49" s="79">
        <v>4000</v>
      </c>
      <c r="AC49" s="79">
        <v>4000</v>
      </c>
      <c r="AD49" s="79">
        <v>4000</v>
      </c>
      <c r="AE49" s="79">
        <v>4000</v>
      </c>
      <c r="AF49" s="79">
        <v>4000</v>
      </c>
      <c r="AG49" s="79">
        <v>4000</v>
      </c>
      <c r="AH49" s="79">
        <v>4000</v>
      </c>
      <c r="AI49" s="79">
        <v>4000</v>
      </c>
      <c r="AJ49" s="79">
        <v>4000</v>
      </c>
      <c r="AK49" s="79">
        <v>4000</v>
      </c>
      <c r="AL49" s="79">
        <v>4000</v>
      </c>
      <c r="AM49" s="79">
        <v>4000</v>
      </c>
      <c r="AN49" s="79">
        <v>4000</v>
      </c>
      <c r="AO49" s="79">
        <v>4000</v>
      </c>
      <c r="AP49" s="79">
        <v>4000</v>
      </c>
      <c r="AQ49" s="79">
        <v>4000</v>
      </c>
      <c r="AR49" s="79">
        <v>4000</v>
      </c>
      <c r="AS49" s="79">
        <v>4000</v>
      </c>
      <c r="AT49" s="79">
        <v>4000</v>
      </c>
      <c r="AU49" s="79">
        <v>4000</v>
      </c>
      <c r="AV49" s="79">
        <v>4000</v>
      </c>
      <c r="AW49" s="79">
        <v>4000</v>
      </c>
      <c r="AX49" s="79">
        <v>4000</v>
      </c>
      <c r="AY49" s="79">
        <v>4000</v>
      </c>
      <c r="AZ49" s="79">
        <v>4000</v>
      </c>
      <c r="BA49" s="79">
        <v>4000</v>
      </c>
      <c r="BB49" s="79">
        <v>4000</v>
      </c>
      <c r="BC49" s="79">
        <v>4000</v>
      </c>
      <c r="BD49" s="79">
        <v>4000</v>
      </c>
      <c r="BE49" s="79">
        <v>4000</v>
      </c>
      <c r="BF49" s="79">
        <v>4000</v>
      </c>
      <c r="BG49" s="79">
        <v>4000</v>
      </c>
      <c r="BH49" s="79">
        <v>4000</v>
      </c>
      <c r="BI49" s="79">
        <v>4000</v>
      </c>
      <c r="BJ49" s="79">
        <v>4000</v>
      </c>
      <c r="BK49" s="79">
        <v>4000</v>
      </c>
      <c r="BL49" s="79">
        <v>4000</v>
      </c>
      <c r="BM49" s="79">
        <v>4000</v>
      </c>
      <c r="BN49" s="79">
        <v>4000</v>
      </c>
      <c r="BO49" s="79">
        <v>4000</v>
      </c>
      <c r="BP49" s="79">
        <v>4000</v>
      </c>
      <c r="BQ49" s="79">
        <v>4000</v>
      </c>
      <c r="BR49" s="79">
        <v>4000</v>
      </c>
      <c r="BS49" s="79">
        <v>4000</v>
      </c>
      <c r="BT49" s="79">
        <v>4000</v>
      </c>
      <c r="BU49" s="79">
        <v>4000</v>
      </c>
      <c r="BV49" s="52">
        <v>4000</v>
      </c>
      <c r="BW49" s="67">
        <v>0</v>
      </c>
      <c r="BX49" s="79"/>
      <c r="BY49" s="79"/>
      <c r="BZ49" s="79"/>
      <c r="CA49" s="79"/>
      <c r="CB49" s="79"/>
      <c r="CC49" s="78"/>
      <c r="CD49" s="78"/>
      <c r="CE49" s="78"/>
      <c r="CF49" s="78"/>
      <c r="CG49" s="79"/>
      <c r="CH49" s="79"/>
    </row>
    <row r="50" spans="1:86" x14ac:dyDescent="0.25">
      <c r="A50" s="86">
        <v>43</v>
      </c>
      <c r="B50" s="86" t="s">
        <v>149</v>
      </c>
      <c r="C50" s="73" t="s">
        <v>150</v>
      </c>
      <c r="D50" s="73"/>
      <c r="E50" s="87" t="s">
        <v>151</v>
      </c>
      <c r="F50" s="66" t="s">
        <v>152</v>
      </c>
      <c r="G50" s="73" t="s">
        <v>124</v>
      </c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 t="s">
        <v>68</v>
      </c>
      <c r="AE50" s="73">
        <v>31</v>
      </c>
      <c r="AF50" s="73">
        <v>31</v>
      </c>
      <c r="AG50" s="73">
        <v>31</v>
      </c>
      <c r="AH50" s="73">
        <v>31</v>
      </c>
      <c r="AI50" s="73">
        <v>31</v>
      </c>
      <c r="AJ50" s="73">
        <v>31</v>
      </c>
      <c r="AK50" s="73">
        <v>31</v>
      </c>
      <c r="AL50" s="73">
        <v>31</v>
      </c>
      <c r="AM50" s="73">
        <v>31</v>
      </c>
      <c r="AN50" s="73">
        <v>31</v>
      </c>
      <c r="AO50" s="73">
        <v>31</v>
      </c>
      <c r="AP50" s="88">
        <v>31</v>
      </c>
    </row>
    <row r="51" spans="1:86" x14ac:dyDescent="0.25">
      <c r="A51" s="86">
        <v>44</v>
      </c>
      <c r="B51" s="86" t="s">
        <v>153</v>
      </c>
      <c r="C51" s="73" t="s">
        <v>154</v>
      </c>
      <c r="D51" s="73" t="s">
        <v>153</v>
      </c>
      <c r="E51" s="87" t="s">
        <v>155</v>
      </c>
      <c r="F51" s="89" t="s">
        <v>156</v>
      </c>
      <c r="G51" s="35" t="s">
        <v>133</v>
      </c>
      <c r="H51" s="73"/>
      <c r="I51" s="73"/>
      <c r="J51" s="73"/>
      <c r="K51" s="73"/>
      <c r="L51" s="73"/>
      <c r="M51" s="73"/>
      <c r="N51" s="73"/>
      <c r="O51" s="73"/>
      <c r="P51" s="73"/>
      <c r="Q51" s="90"/>
      <c r="R51" s="73"/>
      <c r="S51" s="90" t="s">
        <v>68</v>
      </c>
      <c r="T51" s="90" t="s">
        <v>135</v>
      </c>
      <c r="U51" s="90" t="s">
        <v>135</v>
      </c>
      <c r="V51" s="90" t="s">
        <v>135</v>
      </c>
      <c r="W51" s="90" t="s">
        <v>135</v>
      </c>
      <c r="X51" s="90" t="s">
        <v>135</v>
      </c>
      <c r="Y51" s="90" t="s">
        <v>135</v>
      </c>
      <c r="Z51" s="90" t="s">
        <v>135</v>
      </c>
      <c r="AA51" s="90" t="s">
        <v>135</v>
      </c>
      <c r="AB51" s="90" t="s">
        <v>135</v>
      </c>
      <c r="AC51" s="135" t="s">
        <v>135</v>
      </c>
      <c r="AD51" s="90" t="s">
        <v>135</v>
      </c>
      <c r="AE51" s="90" t="s">
        <v>135</v>
      </c>
      <c r="AF51" s="90" t="s">
        <v>135</v>
      </c>
      <c r="AG51" s="90" t="s">
        <v>135</v>
      </c>
      <c r="AH51" s="90" t="s">
        <v>135</v>
      </c>
      <c r="AI51" s="90" t="s">
        <v>135</v>
      </c>
      <c r="AJ51" s="90" t="s">
        <v>135</v>
      </c>
      <c r="AK51" s="90" t="s">
        <v>135</v>
      </c>
      <c r="AL51" s="90" t="s">
        <v>135</v>
      </c>
      <c r="AM51" s="90" t="s">
        <v>135</v>
      </c>
      <c r="AN51" s="90" t="s">
        <v>135</v>
      </c>
      <c r="AO51" s="90" t="s">
        <v>135</v>
      </c>
      <c r="AP51" s="135" t="s">
        <v>135</v>
      </c>
    </row>
    <row r="52" spans="1:86" x14ac:dyDescent="0.25">
      <c r="A52" s="86">
        <v>45</v>
      </c>
      <c r="B52" s="86" t="s">
        <v>157</v>
      </c>
      <c r="C52" s="73" t="s">
        <v>158</v>
      </c>
      <c r="D52" s="73" t="s">
        <v>159</v>
      </c>
      <c r="E52" s="87" t="s">
        <v>160</v>
      </c>
      <c r="F52" s="73" t="s">
        <v>161</v>
      </c>
      <c r="G52" s="66" t="s">
        <v>162</v>
      </c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 t="s">
        <v>68</v>
      </c>
      <c r="AE52" s="73" t="s">
        <v>135</v>
      </c>
      <c r="AF52" s="73" t="s">
        <v>135</v>
      </c>
      <c r="AG52" s="73" t="s">
        <v>135</v>
      </c>
      <c r="AH52" s="73" t="s">
        <v>135</v>
      </c>
      <c r="AI52" s="134" t="s">
        <v>135</v>
      </c>
      <c r="AJ52" s="73" t="s">
        <v>68</v>
      </c>
      <c r="AK52" s="73" t="s">
        <v>135</v>
      </c>
      <c r="AL52" s="73" t="s">
        <v>135</v>
      </c>
      <c r="AM52" s="73" t="s">
        <v>135</v>
      </c>
      <c r="AN52" s="73" t="s">
        <v>135</v>
      </c>
      <c r="AO52" s="73" t="s">
        <v>135</v>
      </c>
      <c r="AP52" s="134" t="s">
        <v>135</v>
      </c>
    </row>
    <row r="53" spans="1:86" x14ac:dyDescent="0.25">
      <c r="A53" s="85">
        <v>46</v>
      </c>
      <c r="B53" s="86"/>
      <c r="C53" s="73" t="s">
        <v>163</v>
      </c>
      <c r="D53" s="73" t="s">
        <v>164</v>
      </c>
      <c r="E53" s="87"/>
      <c r="F53" s="23" t="s">
        <v>27</v>
      </c>
      <c r="G53" s="35" t="s">
        <v>64</v>
      </c>
      <c r="H53" s="91">
        <v>430690980</v>
      </c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>
        <v>2096</v>
      </c>
      <c r="T53" s="73">
        <v>2096</v>
      </c>
      <c r="U53" s="73">
        <v>2096</v>
      </c>
      <c r="V53" s="73">
        <v>2096</v>
      </c>
      <c r="W53" s="73">
        <v>2096</v>
      </c>
      <c r="X53" s="73">
        <v>2096</v>
      </c>
      <c r="Y53" s="73">
        <v>2096</v>
      </c>
      <c r="Z53" s="73">
        <v>2096</v>
      </c>
      <c r="AA53" s="73">
        <v>2096</v>
      </c>
      <c r="AB53" s="73">
        <v>2096</v>
      </c>
      <c r="AC53" s="73">
        <v>2096</v>
      </c>
      <c r="AD53" s="134">
        <v>2096</v>
      </c>
      <c r="AE53" s="73">
        <v>2086</v>
      </c>
      <c r="AF53" s="73">
        <v>2086</v>
      </c>
      <c r="AG53" s="134">
        <v>2086</v>
      </c>
      <c r="AH53" s="134">
        <v>2125</v>
      </c>
      <c r="AI53" s="73">
        <v>2086</v>
      </c>
      <c r="AJ53" s="73">
        <v>2086</v>
      </c>
      <c r="AK53" s="73">
        <v>2086</v>
      </c>
      <c r="AL53" s="73">
        <v>2086</v>
      </c>
      <c r="AM53" s="73">
        <v>2086</v>
      </c>
      <c r="AN53" s="88">
        <v>2086</v>
      </c>
      <c r="AO53" s="73"/>
      <c r="AP53" s="73"/>
    </row>
    <row r="54" spans="1:86" x14ac:dyDescent="0.25">
      <c r="A54" s="85">
        <v>47</v>
      </c>
      <c r="B54" s="86"/>
      <c r="C54" s="73" t="s">
        <v>165</v>
      </c>
      <c r="D54" s="73" t="s">
        <v>166</v>
      </c>
      <c r="E54" s="87"/>
      <c r="F54" s="23" t="s">
        <v>27</v>
      </c>
      <c r="G54" s="35" t="s">
        <v>64</v>
      </c>
      <c r="H54" s="91">
        <v>430692324</v>
      </c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>
        <v>2125</v>
      </c>
      <c r="T54" s="73">
        <v>2125</v>
      </c>
      <c r="U54" s="73">
        <v>2125</v>
      </c>
      <c r="V54" s="73">
        <v>2125</v>
      </c>
      <c r="W54" s="73">
        <v>2125</v>
      </c>
      <c r="X54" s="73">
        <v>2125</v>
      </c>
      <c r="Y54" s="73">
        <v>2125</v>
      </c>
      <c r="Z54" s="73">
        <v>2125</v>
      </c>
      <c r="AA54" s="73">
        <v>2125</v>
      </c>
      <c r="AB54" s="73">
        <v>2125</v>
      </c>
      <c r="AC54" s="73">
        <v>2125</v>
      </c>
      <c r="AD54" s="134">
        <v>2125</v>
      </c>
      <c r="AE54" s="73">
        <v>2067</v>
      </c>
      <c r="AF54" s="73">
        <v>2067</v>
      </c>
      <c r="AG54" s="134">
        <v>2067</v>
      </c>
      <c r="AH54" s="134">
        <v>2117</v>
      </c>
      <c r="AI54" s="73">
        <v>2067</v>
      </c>
      <c r="AJ54" s="73">
        <v>2067</v>
      </c>
      <c r="AK54" s="73">
        <v>2067</v>
      </c>
      <c r="AL54" s="73">
        <v>2067</v>
      </c>
      <c r="AM54" s="88">
        <v>2067</v>
      </c>
      <c r="AN54" s="88">
        <v>2055</v>
      </c>
      <c r="AO54" s="73"/>
      <c r="AP54" s="73"/>
    </row>
    <row r="55" spans="1:86" x14ac:dyDescent="0.25">
      <c r="A55" s="85">
        <v>48</v>
      </c>
      <c r="B55" s="86" t="s">
        <v>167</v>
      </c>
      <c r="C55" s="73" t="s">
        <v>168</v>
      </c>
      <c r="D55" s="73"/>
      <c r="E55" s="87" t="s">
        <v>169</v>
      </c>
      <c r="F55" s="65" t="s">
        <v>170</v>
      </c>
      <c r="G55" s="35" t="s">
        <v>171</v>
      </c>
      <c r="H55" s="91" t="s">
        <v>172</v>
      </c>
      <c r="I55" s="73" t="s">
        <v>294</v>
      </c>
      <c r="J55" s="35" t="s">
        <v>120</v>
      </c>
      <c r="K55" s="73"/>
      <c r="L55" s="73"/>
      <c r="M55" s="73"/>
      <c r="N55" s="73"/>
      <c r="O55" s="73"/>
      <c r="P55" s="73"/>
      <c r="Q55" s="73"/>
      <c r="R55" s="73"/>
      <c r="S55" s="73" t="s">
        <v>135</v>
      </c>
      <c r="T55" s="73" t="s">
        <v>135</v>
      </c>
      <c r="U55" s="73" t="s">
        <v>135</v>
      </c>
      <c r="V55" s="73" t="s">
        <v>135</v>
      </c>
      <c r="W55" s="73" t="s">
        <v>135</v>
      </c>
      <c r="X55" s="73" t="s">
        <v>135</v>
      </c>
      <c r="Y55" s="73" t="s">
        <v>135</v>
      </c>
      <c r="Z55" s="73" t="s">
        <v>135</v>
      </c>
      <c r="AA55" s="73" t="s">
        <v>135</v>
      </c>
      <c r="AB55" s="73" t="s">
        <v>135</v>
      </c>
      <c r="AC55" s="73" t="s">
        <v>135</v>
      </c>
      <c r="AD55" s="73" t="s">
        <v>135</v>
      </c>
      <c r="AE55" s="73" t="s">
        <v>135</v>
      </c>
      <c r="AF55" s="73" t="s">
        <v>135</v>
      </c>
      <c r="AG55" s="73" t="s">
        <v>135</v>
      </c>
      <c r="AH55" s="73" t="s">
        <v>135</v>
      </c>
      <c r="AI55" s="73" t="s">
        <v>135</v>
      </c>
      <c r="AJ55" s="73" t="s">
        <v>135</v>
      </c>
      <c r="AK55" s="88" t="s">
        <v>135</v>
      </c>
      <c r="AL55" s="73"/>
      <c r="AM55" s="73"/>
      <c r="AN55" s="73"/>
      <c r="AO55" s="73"/>
      <c r="AP55" s="73"/>
    </row>
    <row r="56" spans="1:86" x14ac:dyDescent="0.25">
      <c r="A56" s="85">
        <v>49</v>
      </c>
      <c r="B56" s="86"/>
      <c r="C56" s="73" t="s">
        <v>168</v>
      </c>
      <c r="D56" s="73"/>
      <c r="E56" s="87"/>
      <c r="F56" s="23" t="s">
        <v>27</v>
      </c>
      <c r="G56" s="35"/>
      <c r="H56" s="91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>
        <v>2020</v>
      </c>
      <c r="T56" s="73">
        <v>2020</v>
      </c>
      <c r="U56" s="73">
        <v>2020</v>
      </c>
      <c r="V56" s="73">
        <v>2020</v>
      </c>
      <c r="W56" s="73">
        <v>2020</v>
      </c>
      <c r="X56" s="73">
        <v>2020</v>
      </c>
      <c r="Y56" s="73">
        <v>2020</v>
      </c>
      <c r="Z56" s="73">
        <v>2020</v>
      </c>
      <c r="AA56" s="73">
        <v>2020</v>
      </c>
      <c r="AB56" s="73">
        <v>2020</v>
      </c>
      <c r="AC56" s="73">
        <v>2020</v>
      </c>
      <c r="AD56" s="145">
        <v>2020</v>
      </c>
      <c r="AE56" s="73">
        <v>2020</v>
      </c>
      <c r="AF56" s="73">
        <v>2020</v>
      </c>
      <c r="AG56" s="73">
        <v>2020</v>
      </c>
      <c r="AH56" s="73">
        <v>2020</v>
      </c>
      <c r="AI56" s="73">
        <v>2020</v>
      </c>
      <c r="AJ56" s="73">
        <v>2020</v>
      </c>
      <c r="AK56" s="88">
        <v>2020</v>
      </c>
      <c r="AL56" s="73"/>
      <c r="AM56" s="73"/>
      <c r="AN56" s="73"/>
      <c r="AO56" s="73"/>
      <c r="AP56" s="73"/>
    </row>
    <row r="57" spans="1:86" x14ac:dyDescent="0.25">
      <c r="A57" s="85">
        <v>50</v>
      </c>
      <c r="B57" s="86"/>
      <c r="C57" s="73" t="s">
        <v>173</v>
      </c>
      <c r="D57" s="73"/>
      <c r="E57" s="87"/>
      <c r="F57" s="23" t="s">
        <v>27</v>
      </c>
      <c r="G57" s="92"/>
      <c r="H57" s="91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134">
        <v>2069</v>
      </c>
      <c r="V57" s="73">
        <v>2012</v>
      </c>
      <c r="W57" s="73">
        <v>2012</v>
      </c>
      <c r="X57" s="73">
        <v>2012</v>
      </c>
      <c r="Y57" s="73">
        <v>2012</v>
      </c>
      <c r="Z57" s="73">
        <v>2012</v>
      </c>
      <c r="AA57" s="73">
        <v>2012</v>
      </c>
      <c r="AB57" s="73">
        <v>2012</v>
      </c>
      <c r="AC57" s="73">
        <v>2012</v>
      </c>
      <c r="AD57" s="145">
        <v>2012</v>
      </c>
      <c r="AE57" s="73">
        <v>2012</v>
      </c>
      <c r="AF57" s="73">
        <v>2012</v>
      </c>
      <c r="AG57" s="73">
        <v>2012</v>
      </c>
      <c r="AH57" s="73">
        <v>2012</v>
      </c>
      <c r="AI57" s="73">
        <v>2012</v>
      </c>
      <c r="AJ57" s="73">
        <v>2012</v>
      </c>
      <c r="AK57" s="88">
        <v>2012</v>
      </c>
      <c r="AL57" s="73"/>
      <c r="AM57" s="73"/>
      <c r="AN57" s="73"/>
      <c r="AO57" s="73"/>
      <c r="AP57" s="73"/>
    </row>
    <row r="58" spans="1:86" x14ac:dyDescent="0.25">
      <c r="A58" s="85">
        <v>51</v>
      </c>
      <c r="B58" s="86"/>
      <c r="C58" s="73" t="s">
        <v>174</v>
      </c>
      <c r="D58" s="73"/>
      <c r="E58" s="87"/>
      <c r="F58" s="23" t="s">
        <v>27</v>
      </c>
      <c r="G58" s="26" t="s">
        <v>101</v>
      </c>
      <c r="H58" s="91"/>
      <c r="I58" s="73"/>
      <c r="J58" s="73"/>
      <c r="K58" s="73"/>
      <c r="L58" s="73"/>
      <c r="M58" s="73"/>
      <c r="N58" s="73">
        <v>617392</v>
      </c>
      <c r="O58" s="73">
        <v>91918</v>
      </c>
      <c r="P58" s="73">
        <v>4003</v>
      </c>
      <c r="Q58" s="73"/>
      <c r="R58" s="73"/>
      <c r="S58" s="73">
        <v>2095</v>
      </c>
      <c r="T58" s="73">
        <v>2095</v>
      </c>
      <c r="U58" s="73">
        <v>2095</v>
      </c>
      <c r="V58" s="73">
        <v>2095</v>
      </c>
      <c r="W58" s="73">
        <v>2095</v>
      </c>
      <c r="X58" s="73">
        <v>2095</v>
      </c>
      <c r="Y58" s="73">
        <v>2095</v>
      </c>
      <c r="Z58" s="73">
        <v>2095</v>
      </c>
      <c r="AA58" s="73">
        <v>2095</v>
      </c>
      <c r="AB58" s="73">
        <v>2095</v>
      </c>
      <c r="AC58" s="73">
        <v>2095</v>
      </c>
      <c r="AD58" s="134">
        <v>2095</v>
      </c>
      <c r="AE58" s="73">
        <v>2119</v>
      </c>
      <c r="AF58" s="73">
        <v>2119</v>
      </c>
      <c r="AG58" s="73">
        <v>2119</v>
      </c>
      <c r="AH58" s="73">
        <v>2119</v>
      </c>
      <c r="AI58" s="73">
        <v>2119</v>
      </c>
      <c r="AJ58" s="73">
        <v>2119</v>
      </c>
      <c r="AK58" s="88">
        <v>2119</v>
      </c>
      <c r="AL58" s="73"/>
      <c r="AM58" s="73"/>
      <c r="AN58" s="73"/>
      <c r="AO58" s="73"/>
      <c r="AP58" s="73"/>
    </row>
    <row r="59" spans="1:86" ht="14.4" x14ac:dyDescent="0.3">
      <c r="A59" s="86">
        <v>52</v>
      </c>
      <c r="B59" s="86" t="s">
        <v>175</v>
      </c>
      <c r="C59" s="73" t="s">
        <v>176</v>
      </c>
      <c r="D59" s="73"/>
      <c r="E59" s="87" t="s">
        <v>177</v>
      </c>
      <c r="F59" s="2" t="s">
        <v>259</v>
      </c>
      <c r="G59" s="35" t="s">
        <v>178</v>
      </c>
      <c r="H59" s="91" t="s">
        <v>179</v>
      </c>
      <c r="I59" s="73" t="s">
        <v>180</v>
      </c>
      <c r="J59" s="73" t="s">
        <v>181</v>
      </c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 t="s">
        <v>68</v>
      </c>
      <c r="AG59" s="73" t="s">
        <v>135</v>
      </c>
      <c r="AH59" s="73" t="s">
        <v>135</v>
      </c>
      <c r="AI59" s="134" t="s">
        <v>135</v>
      </c>
      <c r="AJ59" s="73"/>
      <c r="AK59" s="73"/>
      <c r="AL59" s="73"/>
      <c r="AM59" s="73"/>
      <c r="AN59" s="73"/>
      <c r="AO59" s="73"/>
      <c r="AP59" s="73"/>
    </row>
    <row r="60" spans="1:86" x14ac:dyDescent="0.25">
      <c r="A60" s="157">
        <v>53</v>
      </c>
      <c r="B60" s="86" t="s">
        <v>299</v>
      </c>
      <c r="C60" s="73" t="s">
        <v>378</v>
      </c>
      <c r="D60" s="73"/>
      <c r="E60" s="87"/>
      <c r="F60" s="23" t="s">
        <v>27</v>
      </c>
      <c r="G60" s="91" t="s">
        <v>64</v>
      </c>
      <c r="H60" s="91">
        <v>428071896</v>
      </c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>
        <v>2104</v>
      </c>
      <c r="T60" s="73">
        <v>2104</v>
      </c>
      <c r="U60" s="134">
        <v>2104</v>
      </c>
      <c r="V60" s="73"/>
      <c r="W60" s="73" t="s">
        <v>68</v>
      </c>
      <c r="X60" s="134">
        <v>2063</v>
      </c>
      <c r="Y60" s="134">
        <v>2063</v>
      </c>
      <c r="Z60" s="134">
        <v>2063</v>
      </c>
      <c r="AA60" s="73"/>
      <c r="AB60" s="73"/>
      <c r="AC60" s="73"/>
      <c r="AD60" s="73"/>
      <c r="AE60" s="73"/>
      <c r="AF60" s="73" t="s">
        <v>68</v>
      </c>
      <c r="AG60" s="73">
        <v>2070</v>
      </c>
      <c r="AH60" s="73">
        <v>2070</v>
      </c>
      <c r="AI60" s="134">
        <v>2070</v>
      </c>
      <c r="AJ60" s="73"/>
      <c r="AK60" s="73"/>
      <c r="AL60" s="73"/>
      <c r="AM60" s="73"/>
      <c r="AN60" s="73"/>
      <c r="AO60" s="73"/>
      <c r="AP60" s="73"/>
    </row>
    <row r="61" spans="1:86" x14ac:dyDescent="0.25">
      <c r="A61" s="86">
        <v>54</v>
      </c>
      <c r="B61" s="86" t="s">
        <v>260</v>
      </c>
      <c r="C61" s="73" t="s">
        <v>261</v>
      </c>
      <c r="D61" s="73"/>
      <c r="E61" s="87"/>
      <c r="F61" s="65" t="s">
        <v>262</v>
      </c>
      <c r="G61" s="91"/>
      <c r="H61" s="91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 t="s">
        <v>68</v>
      </c>
      <c r="AF61" s="73" t="s">
        <v>135</v>
      </c>
      <c r="AG61" s="73" t="s">
        <v>135</v>
      </c>
      <c r="AH61" s="73"/>
      <c r="AI61" s="73"/>
      <c r="AJ61" s="73"/>
      <c r="AK61" s="73"/>
      <c r="AL61" s="73"/>
      <c r="AM61" s="73"/>
      <c r="AN61" s="73"/>
      <c r="AO61" s="73"/>
      <c r="AP61" s="73"/>
    </row>
    <row r="62" spans="1:86" x14ac:dyDescent="0.25">
      <c r="A62" s="86">
        <v>55</v>
      </c>
      <c r="B62" s="86" t="s">
        <v>272</v>
      </c>
      <c r="C62" s="73" t="s">
        <v>291</v>
      </c>
      <c r="D62" s="73"/>
      <c r="E62" s="87"/>
      <c r="F62" s="65" t="s">
        <v>123</v>
      </c>
      <c r="G62" s="91" t="s">
        <v>124</v>
      </c>
      <c r="H62" s="91"/>
      <c r="I62" s="73" t="s">
        <v>293</v>
      </c>
      <c r="J62" s="65" t="s">
        <v>127</v>
      </c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 t="s">
        <v>68</v>
      </c>
      <c r="X62" s="134">
        <v>3009</v>
      </c>
      <c r="Y62" s="134">
        <v>3009</v>
      </c>
      <c r="Z62" s="134">
        <v>3009</v>
      </c>
      <c r="AA62" s="134">
        <v>3030</v>
      </c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</row>
    <row r="63" spans="1:86" x14ac:dyDescent="0.25">
      <c r="A63" s="157">
        <v>56</v>
      </c>
      <c r="B63" s="86" t="s">
        <v>300</v>
      </c>
      <c r="C63" s="73" t="s">
        <v>296</v>
      </c>
      <c r="D63" s="73"/>
      <c r="E63" s="87" t="s">
        <v>297</v>
      </c>
      <c r="F63" s="13" t="s">
        <v>24</v>
      </c>
      <c r="G63" s="91"/>
      <c r="H63" s="91"/>
      <c r="I63" s="73"/>
      <c r="J63" s="73"/>
      <c r="K63" s="73"/>
      <c r="L63" s="73"/>
      <c r="M63" s="73"/>
      <c r="N63" s="73"/>
      <c r="O63" s="73"/>
      <c r="P63" s="73"/>
      <c r="Q63" s="134"/>
      <c r="R63" s="73"/>
      <c r="S63" s="134">
        <v>25</v>
      </c>
      <c r="T63" s="134">
        <v>25</v>
      </c>
      <c r="U63" s="73"/>
      <c r="V63" s="73"/>
      <c r="W63" s="73" t="s">
        <v>68</v>
      </c>
      <c r="X63" s="134">
        <v>25</v>
      </c>
      <c r="Y63" s="134">
        <v>25</v>
      </c>
      <c r="Z63" s="134">
        <v>25</v>
      </c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</row>
    <row r="64" spans="1:86" x14ac:dyDescent="0.25">
      <c r="A64" s="86">
        <v>57</v>
      </c>
      <c r="B64" s="86"/>
      <c r="C64" s="73" t="s">
        <v>292</v>
      </c>
      <c r="D64" s="73"/>
      <c r="E64" s="87"/>
      <c r="F64" s="23" t="s">
        <v>27</v>
      </c>
      <c r="G64" s="91"/>
      <c r="H64" s="91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 t="s">
        <v>68</v>
      </c>
      <c r="X64" s="134">
        <v>2083</v>
      </c>
      <c r="Y64" s="134">
        <v>2083</v>
      </c>
      <c r="Z64" s="134">
        <v>2083</v>
      </c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</row>
    <row r="65" spans="1:30" x14ac:dyDescent="0.25">
      <c r="A65" s="161">
        <v>58</v>
      </c>
      <c r="B65" s="1" t="s">
        <v>290</v>
      </c>
      <c r="C65" s="2" t="s">
        <v>305</v>
      </c>
      <c r="G65" s="2">
        <v>158651</v>
      </c>
      <c r="Q65" s="151"/>
      <c r="S65" s="151">
        <v>10000</v>
      </c>
      <c r="T65" s="151">
        <v>10000</v>
      </c>
      <c r="U65" s="151">
        <v>10000</v>
      </c>
      <c r="V65" s="151">
        <v>10000</v>
      </c>
      <c r="W65" s="151">
        <v>10000</v>
      </c>
      <c r="X65" s="151">
        <v>10000</v>
      </c>
      <c r="Y65" s="151">
        <v>10000</v>
      </c>
      <c r="Z65" s="151">
        <v>10000</v>
      </c>
      <c r="AA65" s="151">
        <v>10000</v>
      </c>
      <c r="AB65" s="151"/>
      <c r="AC65" s="151"/>
      <c r="AD65" s="151"/>
    </row>
    <row r="66" spans="1:30" x14ac:dyDescent="0.25">
      <c r="A66" s="161">
        <v>59</v>
      </c>
      <c r="B66" s="1" t="s">
        <v>289</v>
      </c>
      <c r="C66" s="2" t="s">
        <v>306</v>
      </c>
      <c r="G66" s="2">
        <v>153011</v>
      </c>
      <c r="S66" s="2">
        <v>10001</v>
      </c>
      <c r="T66" s="2">
        <v>10001</v>
      </c>
      <c r="U66" s="2">
        <v>10001</v>
      </c>
      <c r="V66" s="2">
        <v>10001</v>
      </c>
      <c r="W66" s="2">
        <v>10001</v>
      </c>
      <c r="X66" s="2">
        <v>10001</v>
      </c>
      <c r="Y66" s="2">
        <v>10001</v>
      </c>
      <c r="Z66" s="2">
        <v>10001</v>
      </c>
      <c r="AA66" s="2">
        <v>10001</v>
      </c>
    </row>
    <row r="67" spans="1:30" x14ac:dyDescent="0.25">
      <c r="A67" s="161">
        <v>60</v>
      </c>
      <c r="B67" s="1" t="s">
        <v>276</v>
      </c>
      <c r="C67" s="2" t="s">
        <v>307</v>
      </c>
      <c r="G67" s="2">
        <v>99577</v>
      </c>
      <c r="S67" s="2">
        <v>10002</v>
      </c>
      <c r="T67" s="2">
        <v>10002</v>
      </c>
      <c r="U67" s="2">
        <v>10002</v>
      </c>
      <c r="V67" s="2">
        <v>10002</v>
      </c>
      <c r="W67" s="2">
        <v>10002</v>
      </c>
      <c r="X67" s="2">
        <v>10002</v>
      </c>
      <c r="Y67" s="2">
        <v>10002</v>
      </c>
      <c r="Z67" s="2">
        <v>10002</v>
      </c>
      <c r="AA67" s="2">
        <v>10002</v>
      </c>
    </row>
    <row r="68" spans="1:30" x14ac:dyDescent="0.25">
      <c r="A68" s="161">
        <v>61</v>
      </c>
      <c r="B68" s="1" t="s">
        <v>288</v>
      </c>
      <c r="C68" s="2" t="s">
        <v>308</v>
      </c>
      <c r="G68" s="2">
        <v>110146</v>
      </c>
      <c r="S68" s="2">
        <v>10003</v>
      </c>
      <c r="T68" s="2">
        <v>10003</v>
      </c>
      <c r="U68" s="2">
        <v>10003</v>
      </c>
      <c r="V68" s="2">
        <v>10003</v>
      </c>
      <c r="W68" s="2">
        <v>10003</v>
      </c>
      <c r="X68" s="2">
        <v>10003</v>
      </c>
      <c r="Y68" s="2">
        <v>10003</v>
      </c>
      <c r="Z68" s="2">
        <v>10003</v>
      </c>
      <c r="AA68" s="2">
        <v>10003</v>
      </c>
    </row>
    <row r="69" spans="1:30" x14ac:dyDescent="0.25">
      <c r="A69" s="161">
        <v>62</v>
      </c>
      <c r="B69" s="1" t="s">
        <v>287</v>
      </c>
      <c r="C69" s="2" t="s">
        <v>309</v>
      </c>
      <c r="G69" s="2">
        <v>110163</v>
      </c>
      <c r="S69" s="2">
        <v>10004</v>
      </c>
      <c r="T69" s="2">
        <v>10004</v>
      </c>
      <c r="U69" s="2">
        <v>10004</v>
      </c>
      <c r="V69" s="2">
        <v>10004</v>
      </c>
      <c r="W69" s="2">
        <v>10004</v>
      </c>
      <c r="X69" s="2">
        <v>10004</v>
      </c>
      <c r="Y69" s="2">
        <v>10004</v>
      </c>
      <c r="Z69" s="2">
        <v>10004</v>
      </c>
      <c r="AA69" s="2">
        <v>10004</v>
      </c>
    </row>
    <row r="70" spans="1:30" x14ac:dyDescent="0.25">
      <c r="A70" s="161">
        <v>63</v>
      </c>
      <c r="B70" s="1" t="s">
        <v>274</v>
      </c>
      <c r="C70" s="2" t="s">
        <v>310</v>
      </c>
      <c r="S70" s="2">
        <v>10005</v>
      </c>
      <c r="T70" s="2">
        <v>10005</v>
      </c>
      <c r="U70" s="2">
        <v>10005</v>
      </c>
      <c r="V70" s="2">
        <v>10005</v>
      </c>
      <c r="W70" s="2">
        <v>10005</v>
      </c>
      <c r="X70" s="2">
        <v>10005</v>
      </c>
      <c r="Y70" s="2">
        <v>10005</v>
      </c>
      <c r="Z70" s="2">
        <v>10005</v>
      </c>
      <c r="AA70" s="2">
        <v>10005</v>
      </c>
    </row>
    <row r="71" spans="1:30" x14ac:dyDescent="0.25">
      <c r="A71" s="161">
        <v>64</v>
      </c>
      <c r="B71" s="1" t="s">
        <v>275</v>
      </c>
      <c r="C71" s="2" t="s">
        <v>311</v>
      </c>
      <c r="S71" s="2">
        <v>10006</v>
      </c>
      <c r="T71" s="2">
        <v>10006</v>
      </c>
      <c r="U71" s="2">
        <v>10006</v>
      </c>
      <c r="V71" s="2">
        <v>10006</v>
      </c>
      <c r="W71" s="2">
        <v>10006</v>
      </c>
      <c r="X71" s="2">
        <v>10006</v>
      </c>
      <c r="Y71" s="2">
        <v>10006</v>
      </c>
      <c r="Z71" s="2">
        <v>10006</v>
      </c>
      <c r="AA71" s="2">
        <v>10006</v>
      </c>
    </row>
    <row r="72" spans="1:30" x14ac:dyDescent="0.25">
      <c r="A72" s="161">
        <v>65</v>
      </c>
      <c r="B72" s="1" t="s">
        <v>286</v>
      </c>
      <c r="C72" s="2" t="s">
        <v>312</v>
      </c>
      <c r="S72" s="2">
        <v>10007</v>
      </c>
      <c r="T72" s="2">
        <v>10007</v>
      </c>
      <c r="U72" s="2">
        <v>10007</v>
      </c>
      <c r="V72" s="2">
        <v>10007</v>
      </c>
      <c r="W72" s="2">
        <v>10007</v>
      </c>
      <c r="X72" s="2">
        <v>10007</v>
      </c>
      <c r="Y72" s="2">
        <v>10007</v>
      </c>
      <c r="Z72" s="2">
        <v>10007</v>
      </c>
      <c r="AA72" s="2">
        <v>10007</v>
      </c>
    </row>
    <row r="73" spans="1:30" x14ac:dyDescent="0.25">
      <c r="A73" s="161">
        <v>66</v>
      </c>
      <c r="C73" s="2" t="s">
        <v>298</v>
      </c>
      <c r="Q73" s="160"/>
      <c r="S73" s="160">
        <v>6017</v>
      </c>
      <c r="T73" s="160">
        <v>6017</v>
      </c>
    </row>
    <row r="74" spans="1:30" x14ac:dyDescent="0.25">
      <c r="A74" s="1">
        <v>67</v>
      </c>
      <c r="B74" s="1" t="s">
        <v>314</v>
      </c>
      <c r="C74" s="2" t="s">
        <v>313</v>
      </c>
    </row>
    <row r="75" spans="1:30" x14ac:dyDescent="0.25">
      <c r="A75" s="1">
        <v>68</v>
      </c>
      <c r="C75" s="2" t="s">
        <v>368</v>
      </c>
      <c r="R75" s="2">
        <v>2050</v>
      </c>
    </row>
    <row r="76" spans="1:30" x14ac:dyDescent="0.25">
      <c r="A76" s="1">
        <v>69</v>
      </c>
      <c r="C76" s="2" t="s">
        <v>369</v>
      </c>
      <c r="R76" s="2">
        <v>2095</v>
      </c>
    </row>
    <row r="77" spans="1:30" x14ac:dyDescent="0.25">
      <c r="A77" s="1">
        <v>70</v>
      </c>
      <c r="C77" s="2" t="s">
        <v>364</v>
      </c>
    </row>
    <row r="78" spans="1:30" x14ac:dyDescent="0.25">
      <c r="A78" s="1">
        <v>71</v>
      </c>
      <c r="C78" s="2" t="s">
        <v>363</v>
      </c>
    </row>
    <row r="79" spans="1:30" x14ac:dyDescent="0.25">
      <c r="A79" s="1">
        <v>72</v>
      </c>
      <c r="C79" s="2" t="s">
        <v>362</v>
      </c>
    </row>
    <row r="80" spans="1:30" x14ac:dyDescent="0.25">
      <c r="A80" s="1">
        <v>73</v>
      </c>
      <c r="B80" s="1" t="s">
        <v>366</v>
      </c>
      <c r="C80" s="2" t="s">
        <v>365</v>
      </c>
    </row>
    <row r="81" spans="1:42" x14ac:dyDescent="0.25">
      <c r="A81" s="1">
        <v>74</v>
      </c>
      <c r="C81" s="2" t="s">
        <v>370</v>
      </c>
    </row>
    <row r="82" spans="1:42" x14ac:dyDescent="0.25">
      <c r="A82" s="1">
        <v>75</v>
      </c>
      <c r="C82" s="2" t="s">
        <v>374</v>
      </c>
      <c r="D82" s="2" t="s">
        <v>367</v>
      </c>
      <c r="R82" s="2">
        <v>638310398</v>
      </c>
    </row>
    <row r="83" spans="1:42" x14ac:dyDescent="0.25">
      <c r="A83" s="1">
        <v>76</v>
      </c>
      <c r="C83" s="2" t="s">
        <v>375</v>
      </c>
      <c r="D83" s="2" t="s">
        <v>371</v>
      </c>
      <c r="R83" s="2">
        <v>638281397</v>
      </c>
    </row>
    <row r="84" spans="1:42" x14ac:dyDescent="0.25">
      <c r="A84" s="1">
        <v>77</v>
      </c>
      <c r="C84" s="2" t="s">
        <v>376</v>
      </c>
      <c r="D84" s="2" t="s">
        <v>372</v>
      </c>
      <c r="R84" s="2">
        <v>638313829</v>
      </c>
    </row>
    <row r="85" spans="1:42" x14ac:dyDescent="0.25">
      <c r="A85" s="1">
        <v>78</v>
      </c>
      <c r="C85" s="2" t="s">
        <v>377</v>
      </c>
      <c r="D85" s="2" t="s">
        <v>373</v>
      </c>
      <c r="R85" s="2">
        <v>638268794</v>
      </c>
    </row>
    <row r="88" spans="1:42" x14ac:dyDescent="0.25">
      <c r="A88" s="86"/>
      <c r="B88" s="86"/>
      <c r="C88" s="73"/>
      <c r="D88" s="73"/>
      <c r="E88" s="87"/>
      <c r="F88" s="87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</row>
    <row r="89" spans="1:42" x14ac:dyDescent="0.25">
      <c r="A89" s="86">
        <v>100</v>
      </c>
      <c r="B89" s="86"/>
      <c r="C89" s="73" t="s">
        <v>182</v>
      </c>
      <c r="D89" s="73" t="s">
        <v>183</v>
      </c>
      <c r="E89" s="87"/>
      <c r="F89" s="87" t="s">
        <v>184</v>
      </c>
      <c r="G89" s="66" t="s">
        <v>162</v>
      </c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 t="s">
        <v>68</v>
      </c>
      <c r="AE89" s="73">
        <v>21004</v>
      </c>
      <c r="AF89" s="73">
        <v>21004</v>
      </c>
      <c r="AG89" s="73">
        <v>21004</v>
      </c>
      <c r="AH89" s="73">
        <v>21004</v>
      </c>
      <c r="AI89" s="73">
        <v>21004</v>
      </c>
      <c r="AJ89" s="73">
        <v>21004</v>
      </c>
      <c r="AK89" s="73">
        <v>21004</v>
      </c>
      <c r="AL89" s="88">
        <v>21004</v>
      </c>
      <c r="AM89" s="73">
        <v>21027</v>
      </c>
      <c r="AN89" s="73">
        <v>21027</v>
      </c>
      <c r="AO89" s="73">
        <v>21027</v>
      </c>
      <c r="AP89" s="88">
        <v>21027</v>
      </c>
    </row>
    <row r="90" spans="1:42" x14ac:dyDescent="0.25">
      <c r="A90" s="86">
        <v>101</v>
      </c>
      <c r="B90" s="86"/>
      <c r="C90" s="73" t="s">
        <v>185</v>
      </c>
      <c r="D90" s="73" t="s">
        <v>186</v>
      </c>
      <c r="E90" s="87"/>
      <c r="F90" s="87" t="s">
        <v>184</v>
      </c>
      <c r="G90" s="66" t="s">
        <v>162</v>
      </c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 t="s">
        <v>68</v>
      </c>
      <c r="AE90" s="73">
        <v>21022</v>
      </c>
      <c r="AF90" s="73">
        <v>21022</v>
      </c>
      <c r="AG90" s="73">
        <v>21022</v>
      </c>
      <c r="AH90" s="73">
        <v>21022</v>
      </c>
      <c r="AI90" s="73">
        <v>21022</v>
      </c>
      <c r="AJ90" s="73">
        <v>21022</v>
      </c>
      <c r="AK90" s="73">
        <v>21022</v>
      </c>
      <c r="AL90" s="88">
        <v>21022</v>
      </c>
      <c r="AM90" s="73">
        <v>21030</v>
      </c>
      <c r="AN90" s="73">
        <v>21030</v>
      </c>
      <c r="AO90" s="73">
        <v>21030</v>
      </c>
      <c r="AP90" s="88">
        <v>21030</v>
      </c>
    </row>
    <row r="91" spans="1:42" x14ac:dyDescent="0.25">
      <c r="A91" s="86">
        <v>102</v>
      </c>
      <c r="B91" s="86"/>
      <c r="C91" s="73" t="s">
        <v>187</v>
      </c>
      <c r="D91" s="73" t="s">
        <v>188</v>
      </c>
      <c r="E91" s="87"/>
      <c r="F91" s="87" t="s">
        <v>184</v>
      </c>
      <c r="G91" s="66" t="s">
        <v>162</v>
      </c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 t="s">
        <v>68</v>
      </c>
      <c r="AE91" s="2">
        <v>21033</v>
      </c>
      <c r="AF91" s="2">
        <v>21033</v>
      </c>
      <c r="AG91" s="2">
        <v>21033</v>
      </c>
      <c r="AH91" s="2">
        <v>21033</v>
      </c>
      <c r="AI91" s="2">
        <v>21033</v>
      </c>
      <c r="AJ91" s="2">
        <v>21033</v>
      </c>
      <c r="AK91" s="2">
        <v>21033</v>
      </c>
      <c r="AL91" s="93">
        <v>21033</v>
      </c>
      <c r="AM91" s="73">
        <v>21029</v>
      </c>
      <c r="AN91" s="88">
        <v>21029</v>
      </c>
      <c r="AO91" s="88">
        <v>21033</v>
      </c>
      <c r="AP91" s="88">
        <v>21029</v>
      </c>
    </row>
    <row r="92" spans="1:42" x14ac:dyDescent="0.25">
      <c r="A92" s="86">
        <v>103</v>
      </c>
      <c r="B92" s="86"/>
      <c r="C92" s="73" t="s">
        <v>189</v>
      </c>
      <c r="D92" s="73" t="s">
        <v>190</v>
      </c>
      <c r="E92" s="87"/>
      <c r="F92" s="87" t="s">
        <v>184</v>
      </c>
      <c r="G92" s="66" t="s">
        <v>162</v>
      </c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 t="s">
        <v>68</v>
      </c>
      <c r="AE92" s="73">
        <v>21015</v>
      </c>
      <c r="AF92" s="73">
        <v>21015</v>
      </c>
      <c r="AG92" s="73">
        <v>21015</v>
      </c>
      <c r="AH92" s="73">
        <v>21015</v>
      </c>
      <c r="AI92" s="73">
        <v>21015</v>
      </c>
      <c r="AJ92" s="73">
        <v>21015</v>
      </c>
      <c r="AK92" s="73">
        <v>21015</v>
      </c>
      <c r="AL92" s="88">
        <v>21015</v>
      </c>
      <c r="AM92" s="73">
        <v>21031</v>
      </c>
      <c r="AN92" s="73">
        <v>21031</v>
      </c>
      <c r="AO92" s="73">
        <v>21031</v>
      </c>
      <c r="AP92" s="88">
        <v>21031</v>
      </c>
    </row>
    <row r="93" spans="1:42" x14ac:dyDescent="0.25">
      <c r="A93" s="86">
        <v>104</v>
      </c>
      <c r="B93" s="86"/>
      <c r="C93" s="73" t="s">
        <v>191</v>
      </c>
      <c r="D93" s="73" t="s">
        <v>192</v>
      </c>
      <c r="E93" s="87"/>
      <c r="F93" s="87" t="s">
        <v>184</v>
      </c>
      <c r="G93" s="66" t="s">
        <v>162</v>
      </c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 t="s">
        <v>68</v>
      </c>
      <c r="AE93" s="73">
        <v>21043</v>
      </c>
      <c r="AF93" s="73">
        <v>21043</v>
      </c>
      <c r="AG93" s="73">
        <v>21043</v>
      </c>
      <c r="AH93" s="73">
        <v>21043</v>
      </c>
      <c r="AI93" s="73">
        <v>21043</v>
      </c>
      <c r="AJ93" s="73">
        <v>21043</v>
      </c>
      <c r="AK93" s="73">
        <v>21043</v>
      </c>
      <c r="AL93" s="88">
        <v>21043</v>
      </c>
      <c r="AM93" s="73">
        <v>21035</v>
      </c>
      <c r="AN93" s="73">
        <v>21035</v>
      </c>
      <c r="AO93" s="73">
        <v>21035</v>
      </c>
      <c r="AP93" s="88">
        <v>21035</v>
      </c>
    </row>
    <row r="94" spans="1:42" x14ac:dyDescent="0.25">
      <c r="A94" s="86">
        <v>105</v>
      </c>
      <c r="B94" s="86"/>
      <c r="C94" s="73" t="s">
        <v>193</v>
      </c>
      <c r="D94" s="73" t="s">
        <v>194</v>
      </c>
      <c r="E94" s="87"/>
      <c r="F94" s="87" t="s">
        <v>184</v>
      </c>
      <c r="G94" s="66" t="s">
        <v>162</v>
      </c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 t="s">
        <v>68</v>
      </c>
      <c r="AE94" s="73">
        <v>21044</v>
      </c>
      <c r="AF94" s="73">
        <v>21044</v>
      </c>
      <c r="AG94" s="73">
        <v>21044</v>
      </c>
      <c r="AH94" s="73">
        <v>21044</v>
      </c>
      <c r="AI94" s="73">
        <v>21044</v>
      </c>
      <c r="AJ94" s="73">
        <v>21044</v>
      </c>
      <c r="AK94" s="73">
        <v>21044</v>
      </c>
      <c r="AL94" s="88">
        <v>21044</v>
      </c>
      <c r="AM94" s="73">
        <v>21026</v>
      </c>
      <c r="AN94" s="88">
        <v>21026</v>
      </c>
      <c r="AO94" s="73">
        <v>21032</v>
      </c>
      <c r="AP94" s="88">
        <v>21032</v>
      </c>
    </row>
    <row r="95" spans="1:42" x14ac:dyDescent="0.25">
      <c r="A95" s="86">
        <v>106</v>
      </c>
      <c r="B95" s="86"/>
      <c r="C95" s="73" t="s">
        <v>195</v>
      </c>
      <c r="D95" s="73" t="s">
        <v>196</v>
      </c>
      <c r="E95" s="87"/>
      <c r="F95" s="87" t="s">
        <v>184</v>
      </c>
      <c r="G95" s="66" t="s">
        <v>162</v>
      </c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 t="s">
        <v>68</v>
      </c>
      <c r="AE95" s="73">
        <v>21014</v>
      </c>
      <c r="AF95" s="73">
        <v>21014</v>
      </c>
      <c r="AG95" s="73">
        <v>21014</v>
      </c>
      <c r="AH95" s="73">
        <v>21014</v>
      </c>
      <c r="AI95" s="73">
        <v>21014</v>
      </c>
      <c r="AJ95" s="73">
        <v>21014</v>
      </c>
      <c r="AK95" s="73">
        <v>21014</v>
      </c>
      <c r="AL95" s="88">
        <v>21014</v>
      </c>
      <c r="AM95" s="73">
        <v>21025</v>
      </c>
      <c r="AN95" s="73">
        <v>21025</v>
      </c>
      <c r="AO95" s="73">
        <v>21025</v>
      </c>
      <c r="AP95" s="88">
        <v>21025</v>
      </c>
    </row>
    <row r="96" spans="1:42" x14ac:dyDescent="0.25">
      <c r="A96" s="86">
        <v>107</v>
      </c>
      <c r="B96" s="86"/>
      <c r="C96" s="73" t="s">
        <v>197</v>
      </c>
      <c r="D96" s="73" t="s">
        <v>198</v>
      </c>
      <c r="E96" s="87"/>
      <c r="F96" s="87" t="s">
        <v>184</v>
      </c>
      <c r="G96" s="66" t="s">
        <v>162</v>
      </c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 t="s">
        <v>68</v>
      </c>
      <c r="AE96" s="73">
        <v>21017</v>
      </c>
      <c r="AF96" s="73">
        <v>21017</v>
      </c>
      <c r="AG96" s="73">
        <v>21017</v>
      </c>
      <c r="AH96" s="73">
        <v>21017</v>
      </c>
      <c r="AI96" s="73">
        <v>21017</v>
      </c>
      <c r="AJ96" s="88">
        <v>21017</v>
      </c>
      <c r="AK96" s="73">
        <v>21013</v>
      </c>
      <c r="AL96" s="88">
        <v>21013</v>
      </c>
      <c r="AM96" s="73">
        <v>21028</v>
      </c>
      <c r="AN96" s="73">
        <v>21028</v>
      </c>
      <c r="AO96" s="73">
        <v>21028</v>
      </c>
      <c r="AP96" s="88">
        <v>21028</v>
      </c>
    </row>
    <row r="97" spans="1:42" x14ac:dyDescent="0.25">
      <c r="A97" s="94">
        <v>108</v>
      </c>
      <c r="B97" s="94"/>
      <c r="C97" s="95" t="s">
        <v>199</v>
      </c>
      <c r="D97" s="95" t="s">
        <v>200</v>
      </c>
      <c r="E97" s="96"/>
      <c r="F97" s="87" t="s">
        <v>184</v>
      </c>
      <c r="G97" s="66" t="s">
        <v>162</v>
      </c>
      <c r="H97" s="95"/>
      <c r="I97" s="95"/>
      <c r="J97" s="95"/>
      <c r="K97" s="95"/>
      <c r="L97" s="95"/>
      <c r="M97" s="95"/>
      <c r="N97" s="95"/>
      <c r="O97" s="95"/>
      <c r="P97" s="95"/>
      <c r="Q97" s="73"/>
      <c r="R97" s="71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 t="s">
        <v>68</v>
      </c>
      <c r="AE97" s="95">
        <v>21042</v>
      </c>
      <c r="AF97" s="95">
        <v>21042</v>
      </c>
      <c r="AG97" s="95">
        <v>21042</v>
      </c>
      <c r="AH97" s="95">
        <v>21042</v>
      </c>
      <c r="AI97" s="95">
        <v>21042</v>
      </c>
      <c r="AJ97" s="95">
        <v>21042</v>
      </c>
      <c r="AK97" s="95">
        <v>21042</v>
      </c>
      <c r="AL97" s="97">
        <v>21042</v>
      </c>
      <c r="AM97" s="95">
        <v>21037</v>
      </c>
      <c r="AN97" s="97">
        <v>21037</v>
      </c>
      <c r="AO97" s="97">
        <v>21034</v>
      </c>
      <c r="AP97" s="97">
        <v>21026</v>
      </c>
    </row>
    <row r="99" spans="1:42" x14ac:dyDescent="0.25">
      <c r="A99" s="1">
        <v>58</v>
      </c>
      <c r="C99" s="2" t="s">
        <v>279</v>
      </c>
      <c r="G99" s="2">
        <v>158651</v>
      </c>
      <c r="Q99" s="151">
        <v>10000</v>
      </c>
      <c r="S99" s="151">
        <v>10000</v>
      </c>
      <c r="T99" s="151">
        <v>10000</v>
      </c>
      <c r="U99" s="151">
        <v>10000</v>
      </c>
      <c r="V99" s="151">
        <v>10000</v>
      </c>
      <c r="W99" s="151">
        <v>10000</v>
      </c>
      <c r="X99" s="151">
        <v>10000</v>
      </c>
      <c r="Y99" s="151">
        <v>10000</v>
      </c>
      <c r="Z99" s="151">
        <v>10000</v>
      </c>
      <c r="AA99" s="151">
        <v>10000</v>
      </c>
      <c r="AB99" s="151"/>
      <c r="AC99" s="151"/>
      <c r="AD99" s="151"/>
    </row>
    <row r="100" spans="1:42" x14ac:dyDescent="0.25">
      <c r="A100" s="1">
        <v>59</v>
      </c>
      <c r="C100" s="2" t="s">
        <v>280</v>
      </c>
      <c r="G100" s="2">
        <v>153011</v>
      </c>
      <c r="Q100" s="2">
        <v>10001</v>
      </c>
      <c r="S100" s="2">
        <v>10001</v>
      </c>
      <c r="T100" s="2">
        <v>10001</v>
      </c>
      <c r="U100" s="2">
        <v>10001</v>
      </c>
      <c r="V100" s="2">
        <v>10001</v>
      </c>
      <c r="W100" s="2">
        <v>10001</v>
      </c>
      <c r="X100" s="2">
        <v>10001</v>
      </c>
      <c r="Y100" s="2">
        <v>10001</v>
      </c>
      <c r="Z100" s="2">
        <v>10001</v>
      </c>
      <c r="AA100" s="2">
        <v>10001</v>
      </c>
    </row>
    <row r="101" spans="1:42" x14ac:dyDescent="0.25">
      <c r="A101" s="1">
        <v>60</v>
      </c>
      <c r="C101" s="2" t="s">
        <v>281</v>
      </c>
      <c r="G101" s="2">
        <v>99577</v>
      </c>
      <c r="Q101" s="2">
        <v>10002</v>
      </c>
      <c r="S101" s="2">
        <v>10002</v>
      </c>
      <c r="T101" s="2">
        <v>10002</v>
      </c>
      <c r="U101" s="2">
        <v>10002</v>
      </c>
      <c r="V101" s="2">
        <v>10002</v>
      </c>
      <c r="W101" s="2">
        <v>10002</v>
      </c>
      <c r="X101" s="2">
        <v>10002</v>
      </c>
      <c r="Y101" s="2">
        <v>10002</v>
      </c>
      <c r="Z101" s="2">
        <v>10002</v>
      </c>
      <c r="AA101" s="2">
        <v>10002</v>
      </c>
    </row>
    <row r="102" spans="1:42" x14ac:dyDescent="0.25">
      <c r="A102" s="1">
        <v>61</v>
      </c>
      <c r="C102" s="2" t="s">
        <v>282</v>
      </c>
      <c r="G102" s="2">
        <v>110146</v>
      </c>
      <c r="Q102" s="2">
        <v>10003</v>
      </c>
      <c r="S102" s="2">
        <v>10003</v>
      </c>
      <c r="T102" s="2">
        <v>10003</v>
      </c>
      <c r="U102" s="2">
        <v>10003</v>
      </c>
      <c r="V102" s="2">
        <v>10003</v>
      </c>
      <c r="W102" s="2">
        <v>10003</v>
      </c>
      <c r="X102" s="2">
        <v>10003</v>
      </c>
      <c r="Y102" s="2">
        <v>10003</v>
      </c>
      <c r="Z102" s="2">
        <v>10003</v>
      </c>
      <c r="AA102" s="2">
        <v>10003</v>
      </c>
    </row>
    <row r="103" spans="1:42" x14ac:dyDescent="0.25">
      <c r="A103" s="1">
        <v>62</v>
      </c>
      <c r="C103" s="2" t="s">
        <v>283</v>
      </c>
      <c r="G103" s="2">
        <v>110163</v>
      </c>
      <c r="Q103" s="2">
        <v>10004</v>
      </c>
      <c r="S103" s="2">
        <v>10004</v>
      </c>
      <c r="T103" s="2">
        <v>10004</v>
      </c>
      <c r="U103" s="2">
        <v>10004</v>
      </c>
      <c r="V103" s="2">
        <v>10004</v>
      </c>
      <c r="W103" s="2">
        <v>10004</v>
      </c>
      <c r="X103" s="2">
        <v>10004</v>
      </c>
      <c r="Y103" s="2">
        <v>10004</v>
      </c>
      <c r="Z103" s="2">
        <v>10004</v>
      </c>
      <c r="AA103" s="2">
        <v>10004</v>
      </c>
    </row>
    <row r="104" spans="1:42" x14ac:dyDescent="0.25">
      <c r="A104" s="1">
        <v>63</v>
      </c>
      <c r="C104" s="2" t="s">
        <v>284</v>
      </c>
      <c r="Q104" s="2">
        <v>10005</v>
      </c>
      <c r="S104" s="2">
        <v>10005</v>
      </c>
      <c r="T104" s="2">
        <v>10005</v>
      </c>
      <c r="U104" s="2">
        <v>10005</v>
      </c>
      <c r="V104" s="2">
        <v>10005</v>
      </c>
      <c r="W104" s="2">
        <v>10005</v>
      </c>
      <c r="X104" s="2">
        <v>10005</v>
      </c>
      <c r="Y104" s="2">
        <v>10005</v>
      </c>
      <c r="Z104" s="2">
        <v>10005</v>
      </c>
      <c r="AA104" s="2">
        <v>10005</v>
      </c>
    </row>
    <row r="105" spans="1:42" x14ac:dyDescent="0.25">
      <c r="A105" s="1">
        <v>64</v>
      </c>
      <c r="C105" s="2" t="s">
        <v>285</v>
      </c>
      <c r="Q105" s="2">
        <v>10006</v>
      </c>
      <c r="S105" s="2">
        <v>10006</v>
      </c>
      <c r="T105" s="2">
        <v>10006</v>
      </c>
      <c r="U105" s="2">
        <v>10006</v>
      </c>
      <c r="V105" s="2">
        <v>10006</v>
      </c>
      <c r="W105" s="2">
        <v>10006</v>
      </c>
      <c r="X105" s="2">
        <v>10006</v>
      </c>
      <c r="Y105" s="2">
        <v>10006</v>
      </c>
      <c r="Z105" s="2">
        <v>10006</v>
      </c>
      <c r="AA105" s="2">
        <v>10006</v>
      </c>
    </row>
    <row r="106" spans="1:42" x14ac:dyDescent="0.25">
      <c r="A106" s="1">
        <v>65</v>
      </c>
      <c r="C106" s="2" t="s">
        <v>278</v>
      </c>
    </row>
  </sheetData>
  <hyperlinks>
    <hyperlink ref="D48" r:id="rId1" xr:uid="{2612FFBB-E1DE-451A-9FD0-F9B549B21E07}"/>
  </hyperlinks>
  <pageMargins left="0.23622047244094491" right="0.23622047244094491" top="0.74803149606299213" bottom="0.74803149606299213" header="0.31496062992125984" footer="0.31496062992125984"/>
  <pageSetup paperSize="8" scale="16" orientation="landscape" useFirstPageNumber="1" r:id="rId2"/>
  <colBreaks count="1" manualBreakCount="1">
    <brk id="55" max="1048575" man="1"/>
  </colBrea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93"/>
  <sheetViews>
    <sheetView zoomScale="75" zoomScaleNormal="75" workbookViewId="0">
      <selection activeCell="G3" sqref="G3"/>
    </sheetView>
  </sheetViews>
  <sheetFormatPr defaultRowHeight="13.2" x14ac:dyDescent="0.25"/>
  <cols>
    <col min="1" max="2" width="11.44140625" customWidth="1"/>
    <col min="3" max="3" width="14.88671875" customWidth="1"/>
    <col min="4" max="4" width="62.44140625" customWidth="1"/>
    <col min="5" max="5" width="12" customWidth="1"/>
    <col min="6" max="6" width="11.44140625" customWidth="1"/>
    <col min="7" max="7" width="15" customWidth="1"/>
    <col min="8" max="1025" width="11.44140625" customWidth="1"/>
  </cols>
  <sheetData>
    <row r="1" spans="1:8" x14ac:dyDescent="0.25">
      <c r="A1" s="98" t="s">
        <v>201</v>
      </c>
      <c r="F1" s="99"/>
    </row>
    <row r="2" spans="1:8" x14ac:dyDescent="0.25">
      <c r="A2" s="100"/>
      <c r="F2" s="99"/>
    </row>
    <row r="3" spans="1:8" x14ac:dyDescent="0.25">
      <c r="A3" s="101" t="s">
        <v>5</v>
      </c>
      <c r="B3" s="102" t="s">
        <v>202</v>
      </c>
      <c r="C3" s="102" t="s">
        <v>11</v>
      </c>
      <c r="D3" s="102" t="s">
        <v>203</v>
      </c>
      <c r="E3" s="103" t="s">
        <v>204</v>
      </c>
      <c r="F3" s="104" t="s">
        <v>11</v>
      </c>
      <c r="G3" t="s">
        <v>205</v>
      </c>
      <c r="H3" t="s">
        <v>206</v>
      </c>
    </row>
    <row r="4" spans="1:8" x14ac:dyDescent="0.25">
      <c r="A4" s="105"/>
      <c r="B4" s="106"/>
      <c r="C4" s="106"/>
      <c r="D4" s="106"/>
      <c r="E4" s="106"/>
      <c r="F4" s="99"/>
    </row>
    <row r="5" spans="1:8" ht="13.35" customHeight="1" x14ac:dyDescent="0.25">
      <c r="A5" s="107">
        <v>1</v>
      </c>
      <c r="B5" s="173" t="s">
        <v>207</v>
      </c>
      <c r="C5" s="174" t="s">
        <v>208</v>
      </c>
      <c r="D5" s="108" t="s">
        <v>209</v>
      </c>
      <c r="E5" s="109"/>
      <c r="F5" s="110" t="s">
        <v>210</v>
      </c>
    </row>
    <row r="6" spans="1:8" ht="13.35" customHeight="1" x14ac:dyDescent="0.25">
      <c r="A6" s="111"/>
      <c r="B6" s="173"/>
      <c r="C6" s="174"/>
      <c r="D6" s="112"/>
      <c r="E6" s="109"/>
      <c r="F6" s="113"/>
    </row>
    <row r="7" spans="1:8" x14ac:dyDescent="0.25">
      <c r="A7" s="111"/>
      <c r="B7" s="173"/>
      <c r="C7" s="174"/>
      <c r="D7" s="114" t="s">
        <v>211</v>
      </c>
      <c r="E7" s="109">
        <v>50</v>
      </c>
      <c r="F7" s="115" t="s">
        <v>212</v>
      </c>
    </row>
    <row r="8" spans="1:8" x14ac:dyDescent="0.25">
      <c r="A8" s="111"/>
      <c r="B8" s="173"/>
      <c r="C8" s="174"/>
      <c r="D8" s="114" t="s">
        <v>213</v>
      </c>
      <c r="E8" s="109"/>
      <c r="F8" s="115"/>
    </row>
    <row r="9" spans="1:8" x14ac:dyDescent="0.25">
      <c r="A9" s="116"/>
      <c r="B9" s="173"/>
      <c r="C9" s="174"/>
      <c r="D9" s="117" t="s">
        <v>214</v>
      </c>
      <c r="E9" s="109"/>
      <c r="F9" s="118"/>
    </row>
    <row r="10" spans="1:8" x14ac:dyDescent="0.25">
      <c r="A10" s="105"/>
      <c r="B10" s="106"/>
      <c r="C10" s="106"/>
      <c r="D10" s="106"/>
      <c r="E10" s="106"/>
      <c r="F10" s="99"/>
    </row>
    <row r="11" spans="1:8" ht="13.35" customHeight="1" x14ac:dyDescent="0.25">
      <c r="A11" s="107">
        <v>2</v>
      </c>
      <c r="B11" s="173" t="s">
        <v>215</v>
      </c>
      <c r="C11" s="174" t="s">
        <v>208</v>
      </c>
      <c r="D11" s="108" t="s">
        <v>209</v>
      </c>
      <c r="E11" s="109"/>
      <c r="F11" s="110" t="s">
        <v>210</v>
      </c>
    </row>
    <row r="12" spans="1:8" ht="13.35" customHeight="1" x14ac:dyDescent="0.25">
      <c r="A12" s="111"/>
      <c r="B12" s="173"/>
      <c r="C12" s="174"/>
      <c r="D12" s="112"/>
      <c r="E12" s="109"/>
      <c r="F12" s="113"/>
    </row>
    <row r="13" spans="1:8" x14ac:dyDescent="0.25">
      <c r="A13" s="111"/>
      <c r="B13" s="173"/>
      <c r="C13" s="174"/>
      <c r="D13" s="114" t="s">
        <v>211</v>
      </c>
      <c r="E13" s="109">
        <v>50</v>
      </c>
      <c r="F13" s="176" t="s">
        <v>212</v>
      </c>
    </row>
    <row r="14" spans="1:8" x14ac:dyDescent="0.25">
      <c r="A14" s="111"/>
      <c r="B14" s="173"/>
      <c r="C14" s="174"/>
      <c r="D14" s="114" t="s">
        <v>213</v>
      </c>
      <c r="E14" s="109"/>
      <c r="F14" s="176"/>
    </row>
    <row r="15" spans="1:8" x14ac:dyDescent="0.25">
      <c r="A15" s="116"/>
      <c r="B15" s="173"/>
      <c r="C15" s="174"/>
      <c r="D15" s="117" t="s">
        <v>214</v>
      </c>
      <c r="E15" s="109"/>
      <c r="F15" s="176"/>
    </row>
    <row r="16" spans="1:8" x14ac:dyDescent="0.25">
      <c r="A16" s="105"/>
      <c r="B16" s="106"/>
      <c r="C16" s="106"/>
      <c r="D16" s="106"/>
      <c r="E16" s="106"/>
      <c r="F16" s="99"/>
    </row>
    <row r="17" spans="1:6" ht="13.35" customHeight="1" x14ac:dyDescent="0.25">
      <c r="A17" s="107">
        <v>3</v>
      </c>
      <c r="B17" s="173" t="s">
        <v>216</v>
      </c>
      <c r="C17" s="174" t="s">
        <v>208</v>
      </c>
      <c r="D17" s="108" t="s">
        <v>209</v>
      </c>
      <c r="E17" s="109"/>
      <c r="F17" s="110" t="s">
        <v>210</v>
      </c>
    </row>
    <row r="18" spans="1:6" ht="13.35" customHeight="1" x14ac:dyDescent="0.25">
      <c r="A18" s="111"/>
      <c r="B18" s="173"/>
      <c r="C18" s="174"/>
      <c r="D18" s="112"/>
      <c r="E18" s="109"/>
      <c r="F18" s="113"/>
    </row>
    <row r="19" spans="1:6" x14ac:dyDescent="0.25">
      <c r="A19" s="111"/>
      <c r="B19" s="173"/>
      <c r="C19" s="174"/>
      <c r="D19" s="114" t="s">
        <v>211</v>
      </c>
      <c r="E19" s="109">
        <v>150</v>
      </c>
      <c r="F19" s="176" t="s">
        <v>212</v>
      </c>
    </row>
    <row r="20" spans="1:6" x14ac:dyDescent="0.25">
      <c r="A20" s="111"/>
      <c r="B20" s="173"/>
      <c r="C20" s="174"/>
      <c r="D20" s="114" t="s">
        <v>213</v>
      </c>
      <c r="E20" s="109"/>
      <c r="F20" s="176"/>
    </row>
    <row r="21" spans="1:6" x14ac:dyDescent="0.25">
      <c r="A21" s="116"/>
      <c r="B21" s="173"/>
      <c r="C21" s="174"/>
      <c r="D21" s="117" t="s">
        <v>214</v>
      </c>
      <c r="E21" s="109"/>
      <c r="F21" s="176"/>
    </row>
    <row r="22" spans="1:6" x14ac:dyDescent="0.25">
      <c r="A22" s="105"/>
      <c r="B22" s="106"/>
      <c r="C22" s="106"/>
      <c r="D22" s="106"/>
      <c r="E22" s="106"/>
      <c r="F22" s="99"/>
    </row>
    <row r="23" spans="1:6" ht="13.35" customHeight="1" x14ac:dyDescent="0.25">
      <c r="A23" s="107">
        <v>4</v>
      </c>
      <c r="B23" s="173" t="s">
        <v>217</v>
      </c>
      <c r="C23" s="174" t="s">
        <v>208</v>
      </c>
      <c r="D23" s="108" t="s">
        <v>209</v>
      </c>
      <c r="E23" s="109"/>
      <c r="F23" s="110" t="s">
        <v>210</v>
      </c>
    </row>
    <row r="24" spans="1:6" ht="13.35" customHeight="1" x14ac:dyDescent="0.25">
      <c r="A24" s="111"/>
      <c r="B24" s="173"/>
      <c r="C24" s="174"/>
      <c r="D24" s="112"/>
      <c r="E24" s="109"/>
      <c r="F24" s="113"/>
    </row>
    <row r="25" spans="1:6" x14ac:dyDescent="0.25">
      <c r="A25" s="111"/>
      <c r="B25" s="173"/>
      <c r="C25" s="174"/>
      <c r="D25" s="114" t="s">
        <v>211</v>
      </c>
      <c r="E25" s="109">
        <v>50</v>
      </c>
      <c r="F25" s="176" t="s">
        <v>212</v>
      </c>
    </row>
    <row r="26" spans="1:6" x14ac:dyDescent="0.25">
      <c r="A26" s="111"/>
      <c r="B26" s="173"/>
      <c r="C26" s="174"/>
      <c r="D26" s="114" t="s">
        <v>213</v>
      </c>
      <c r="E26" s="109"/>
      <c r="F26" s="176"/>
    </row>
    <row r="27" spans="1:6" x14ac:dyDescent="0.25">
      <c r="A27" s="116"/>
      <c r="B27" s="173"/>
      <c r="C27" s="174"/>
      <c r="D27" s="117" t="s">
        <v>214</v>
      </c>
      <c r="E27" s="109"/>
      <c r="F27" s="176"/>
    </row>
    <row r="28" spans="1:6" x14ac:dyDescent="0.25">
      <c r="A28" s="105"/>
      <c r="B28" s="106"/>
      <c r="C28" s="106"/>
      <c r="D28" s="106"/>
      <c r="E28" s="106"/>
      <c r="F28" s="99"/>
    </row>
    <row r="29" spans="1:6" ht="13.35" customHeight="1" x14ac:dyDescent="0.25">
      <c r="A29" s="107">
        <v>5</v>
      </c>
      <c r="B29" s="178" t="s">
        <v>218</v>
      </c>
      <c r="C29" s="174" t="s">
        <v>219</v>
      </c>
      <c r="D29" s="108" t="s">
        <v>220</v>
      </c>
      <c r="E29" s="109"/>
      <c r="F29" s="110" t="s">
        <v>221</v>
      </c>
    </row>
    <row r="30" spans="1:6" ht="13.35" customHeight="1" x14ac:dyDescent="0.25">
      <c r="A30" s="111"/>
      <c r="B30" s="178"/>
      <c r="C30" s="174"/>
      <c r="D30" s="112"/>
      <c r="E30" s="109"/>
      <c r="F30" s="113"/>
    </row>
    <row r="31" spans="1:6" x14ac:dyDescent="0.25">
      <c r="A31" s="111"/>
      <c r="B31" s="178"/>
      <c r="C31" s="174"/>
      <c r="D31" s="119" t="s">
        <v>222</v>
      </c>
      <c r="E31" s="109"/>
      <c r="F31" s="179" t="s">
        <v>223</v>
      </c>
    </row>
    <row r="32" spans="1:6" x14ac:dyDescent="0.25">
      <c r="A32" s="111"/>
      <c r="B32" s="178"/>
      <c r="C32" s="174"/>
      <c r="D32" s="119" t="s">
        <v>224</v>
      </c>
      <c r="E32" s="109"/>
      <c r="F32" s="179"/>
    </row>
    <row r="33" spans="1:6" x14ac:dyDescent="0.25">
      <c r="A33" s="111"/>
      <c r="B33" s="178"/>
      <c r="C33" s="174"/>
      <c r="D33" s="112"/>
      <c r="E33" s="109"/>
      <c r="F33" s="120"/>
    </row>
    <row r="34" spans="1:6" x14ac:dyDescent="0.25">
      <c r="A34" s="116"/>
      <c r="B34" s="178"/>
      <c r="C34" s="174"/>
      <c r="D34" s="121" t="s">
        <v>225</v>
      </c>
      <c r="E34" s="109"/>
      <c r="F34" s="110" t="s">
        <v>226</v>
      </c>
    </row>
    <row r="35" spans="1:6" x14ac:dyDescent="0.25">
      <c r="A35" s="111"/>
      <c r="B35" s="178"/>
      <c r="C35" s="122"/>
      <c r="D35" s="123"/>
      <c r="E35" s="124"/>
      <c r="F35" s="125"/>
    </row>
    <row r="36" spans="1:6" ht="13.35" customHeight="1" x14ac:dyDescent="0.25">
      <c r="A36" s="107">
        <v>6</v>
      </c>
      <c r="B36" s="178"/>
      <c r="C36" s="174" t="s">
        <v>227</v>
      </c>
      <c r="D36" s="114" t="s">
        <v>228</v>
      </c>
      <c r="E36" s="109"/>
      <c r="F36" s="113"/>
    </row>
    <row r="37" spans="1:6" x14ac:dyDescent="0.25">
      <c r="A37" s="111"/>
      <c r="B37" s="178"/>
      <c r="C37" s="178"/>
      <c r="D37" s="114" t="s">
        <v>229</v>
      </c>
      <c r="E37" s="109">
        <v>100</v>
      </c>
      <c r="F37" s="176" t="s">
        <v>47</v>
      </c>
    </row>
    <row r="38" spans="1:6" x14ac:dyDescent="0.25">
      <c r="A38" s="111"/>
      <c r="B38" s="178"/>
      <c r="C38" s="178"/>
      <c r="D38" s="114" t="s">
        <v>230</v>
      </c>
      <c r="E38" s="109"/>
      <c r="F38" s="176"/>
    </row>
    <row r="39" spans="1:6" x14ac:dyDescent="0.25">
      <c r="A39" s="116"/>
      <c r="B39" s="178"/>
      <c r="C39" s="178"/>
      <c r="D39" s="114" t="s">
        <v>231</v>
      </c>
      <c r="E39" s="109">
        <v>200</v>
      </c>
      <c r="F39" s="176"/>
    </row>
    <row r="40" spans="1:6" x14ac:dyDescent="0.25">
      <c r="A40" s="105"/>
      <c r="B40" s="106"/>
      <c r="C40" s="106"/>
      <c r="D40" s="106"/>
      <c r="E40" s="106"/>
      <c r="F40" s="99"/>
    </row>
    <row r="41" spans="1:6" ht="13.35" customHeight="1" x14ac:dyDescent="0.25">
      <c r="A41" s="107">
        <v>7</v>
      </c>
      <c r="B41" s="178" t="s">
        <v>232</v>
      </c>
      <c r="C41" s="174" t="s">
        <v>219</v>
      </c>
      <c r="D41" s="108" t="s">
        <v>220</v>
      </c>
      <c r="E41" s="109"/>
      <c r="F41" s="110" t="s">
        <v>221</v>
      </c>
    </row>
    <row r="42" spans="1:6" ht="13.35" customHeight="1" x14ac:dyDescent="0.25">
      <c r="A42" s="111"/>
      <c r="B42" s="178"/>
      <c r="C42" s="174"/>
      <c r="D42" s="112"/>
      <c r="E42" s="109"/>
      <c r="F42" s="113"/>
    </row>
    <row r="43" spans="1:6" x14ac:dyDescent="0.25">
      <c r="A43" s="111"/>
      <c r="B43" s="178"/>
      <c r="C43" s="174"/>
      <c r="D43" s="119" t="s">
        <v>222</v>
      </c>
      <c r="E43" s="109"/>
      <c r="F43" s="179" t="s">
        <v>223</v>
      </c>
    </row>
    <row r="44" spans="1:6" x14ac:dyDescent="0.25">
      <c r="A44" s="111"/>
      <c r="B44" s="178"/>
      <c r="C44" s="174"/>
      <c r="D44" s="119" t="s">
        <v>224</v>
      </c>
      <c r="E44" s="109"/>
      <c r="F44" s="179"/>
    </row>
    <row r="45" spans="1:6" x14ac:dyDescent="0.25">
      <c r="A45" s="111"/>
      <c r="B45" s="178"/>
      <c r="C45" s="174"/>
      <c r="D45" s="112"/>
      <c r="E45" s="109"/>
      <c r="F45" s="120"/>
    </row>
    <row r="46" spans="1:6" x14ac:dyDescent="0.25">
      <c r="A46" s="116"/>
      <c r="B46" s="178"/>
      <c r="C46" s="174"/>
      <c r="D46" s="121" t="s">
        <v>225</v>
      </c>
      <c r="E46" s="109"/>
      <c r="F46" s="110" t="s">
        <v>226</v>
      </c>
    </row>
    <row r="47" spans="1:6" x14ac:dyDescent="0.25">
      <c r="A47" s="111"/>
      <c r="B47" s="178"/>
      <c r="C47" s="126"/>
      <c r="D47" s="123"/>
      <c r="E47" s="124"/>
      <c r="F47" s="125"/>
    </row>
    <row r="48" spans="1:6" ht="13.35" customHeight="1" x14ac:dyDescent="0.25">
      <c r="A48" s="107" t="s">
        <v>1</v>
      </c>
      <c r="B48" s="178"/>
      <c r="C48" s="174" t="s">
        <v>227</v>
      </c>
      <c r="D48" s="127" t="s">
        <v>233</v>
      </c>
      <c r="E48" s="109"/>
      <c r="F48" s="110" t="s">
        <v>234</v>
      </c>
    </row>
    <row r="49" spans="1:8" ht="13.35" customHeight="1" x14ac:dyDescent="0.25">
      <c r="A49" s="111"/>
      <c r="B49" s="178"/>
      <c r="C49" s="174"/>
      <c r="D49" s="112"/>
      <c r="E49" s="109"/>
      <c r="F49" s="113"/>
    </row>
    <row r="50" spans="1:8" x14ac:dyDescent="0.25">
      <c r="A50" s="111">
        <v>8</v>
      </c>
      <c r="B50" s="178"/>
      <c r="C50" s="178"/>
      <c r="D50" s="114" t="s">
        <v>229</v>
      </c>
      <c r="E50" s="109">
        <v>100</v>
      </c>
      <c r="F50" s="176" t="s">
        <v>235</v>
      </c>
    </row>
    <row r="51" spans="1:8" x14ac:dyDescent="0.25">
      <c r="A51" s="111"/>
      <c r="B51" s="178"/>
      <c r="C51" s="178"/>
      <c r="D51" s="114" t="s">
        <v>230</v>
      </c>
      <c r="E51" s="109"/>
      <c r="F51" s="176"/>
    </row>
    <row r="52" spans="1:8" x14ac:dyDescent="0.25">
      <c r="A52" s="116"/>
      <c r="B52" s="178"/>
      <c r="C52" s="178"/>
      <c r="D52" s="114" t="s">
        <v>231</v>
      </c>
      <c r="E52" s="109">
        <v>150</v>
      </c>
      <c r="F52" s="176"/>
    </row>
    <row r="53" spans="1:8" x14ac:dyDescent="0.25">
      <c r="A53" s="105"/>
      <c r="B53" s="106"/>
      <c r="C53" s="106"/>
      <c r="D53" s="106"/>
      <c r="E53" s="106"/>
      <c r="F53" s="99"/>
    </row>
    <row r="54" spans="1:8" ht="13.35" customHeight="1" x14ac:dyDescent="0.25">
      <c r="A54" s="128" t="s">
        <v>1</v>
      </c>
      <c r="B54" s="177"/>
      <c r="C54" s="171" t="s">
        <v>236</v>
      </c>
      <c r="D54" s="114" t="s">
        <v>237</v>
      </c>
      <c r="E54" s="109"/>
      <c r="F54" s="113"/>
      <c r="G54" t="s">
        <v>238</v>
      </c>
      <c r="H54" t="s">
        <v>239</v>
      </c>
    </row>
    <row r="55" spans="1:8" x14ac:dyDescent="0.25">
      <c r="A55" s="129">
        <v>9</v>
      </c>
      <c r="B55" s="177"/>
      <c r="C55" s="171"/>
      <c r="D55" s="114" t="s">
        <v>229</v>
      </c>
      <c r="E55" s="109">
        <v>150</v>
      </c>
      <c r="F55" s="176" t="s">
        <v>240</v>
      </c>
    </row>
    <row r="56" spans="1:8" x14ac:dyDescent="0.25">
      <c r="A56" s="129"/>
      <c r="B56" s="177"/>
      <c r="C56" s="171"/>
      <c r="D56" s="114" t="s">
        <v>231</v>
      </c>
      <c r="E56" s="109">
        <v>150</v>
      </c>
      <c r="F56" s="176"/>
    </row>
    <row r="57" spans="1:8" x14ac:dyDescent="0.25">
      <c r="A57" s="130"/>
      <c r="B57" s="177"/>
      <c r="C57" s="171"/>
      <c r="D57" s="114" t="s">
        <v>241</v>
      </c>
      <c r="E57" s="109">
        <v>200</v>
      </c>
      <c r="F57" s="176"/>
    </row>
    <row r="58" spans="1:8" x14ac:dyDescent="0.25">
      <c r="A58" s="105"/>
      <c r="B58" s="106"/>
      <c r="C58" s="106"/>
      <c r="D58" s="106"/>
      <c r="E58" s="106"/>
      <c r="F58" s="99"/>
    </row>
    <row r="59" spans="1:8" ht="13.35" customHeight="1" x14ac:dyDescent="0.25">
      <c r="A59" s="107">
        <v>10</v>
      </c>
      <c r="B59" s="173" t="s">
        <v>242</v>
      </c>
      <c r="C59" s="174" t="s">
        <v>243</v>
      </c>
      <c r="D59" s="127" t="s">
        <v>233</v>
      </c>
      <c r="E59" s="109"/>
      <c r="F59" s="110" t="s">
        <v>234</v>
      </c>
    </row>
    <row r="60" spans="1:8" ht="13.35" customHeight="1" x14ac:dyDescent="0.25">
      <c r="A60" s="111"/>
      <c r="B60" s="173"/>
      <c r="C60" s="174"/>
      <c r="D60" s="112"/>
      <c r="E60" s="109"/>
      <c r="F60" s="113"/>
    </row>
    <row r="61" spans="1:8" x14ac:dyDescent="0.25">
      <c r="A61" s="111"/>
      <c r="B61" s="173"/>
      <c r="C61" s="174"/>
      <c r="D61" s="117" t="s">
        <v>244</v>
      </c>
      <c r="E61" s="109"/>
      <c r="F61" s="176" t="s">
        <v>245</v>
      </c>
    </row>
    <row r="62" spans="1:8" x14ac:dyDescent="0.25">
      <c r="A62" s="111"/>
      <c r="B62" s="173"/>
      <c r="C62" s="174"/>
      <c r="D62" s="117" t="s">
        <v>1</v>
      </c>
      <c r="E62" s="109"/>
      <c r="F62" s="176"/>
    </row>
    <row r="63" spans="1:8" x14ac:dyDescent="0.25">
      <c r="A63" s="116"/>
      <c r="B63" s="173"/>
      <c r="C63" s="174"/>
      <c r="D63" s="117" t="s">
        <v>1</v>
      </c>
      <c r="E63" s="109"/>
      <c r="F63" s="176"/>
    </row>
    <row r="64" spans="1:8" x14ac:dyDescent="0.25">
      <c r="A64" s="105"/>
      <c r="B64" s="106"/>
      <c r="C64" s="106"/>
      <c r="D64" s="106"/>
      <c r="E64" s="106"/>
      <c r="F64" s="99"/>
    </row>
    <row r="65" spans="1:8" ht="13.35" customHeight="1" x14ac:dyDescent="0.25">
      <c r="A65" s="107">
        <v>11</v>
      </c>
      <c r="B65" s="173" t="s">
        <v>246</v>
      </c>
      <c r="C65" s="174" t="s">
        <v>243</v>
      </c>
      <c r="D65" s="127" t="s">
        <v>233</v>
      </c>
      <c r="E65" s="109"/>
      <c r="F65" s="110" t="s">
        <v>234</v>
      </c>
    </row>
    <row r="66" spans="1:8" ht="13.35" customHeight="1" x14ac:dyDescent="0.25">
      <c r="A66" s="111"/>
      <c r="B66" s="173"/>
      <c r="C66" s="174"/>
      <c r="D66" s="112"/>
      <c r="E66" s="109"/>
      <c r="F66" s="113"/>
    </row>
    <row r="67" spans="1:8" x14ac:dyDescent="0.25">
      <c r="A67" s="111"/>
      <c r="B67" s="173"/>
      <c r="C67" s="174"/>
      <c r="D67" s="117" t="s">
        <v>244</v>
      </c>
      <c r="E67" s="109"/>
      <c r="F67" s="176" t="s">
        <v>245</v>
      </c>
    </row>
    <row r="68" spans="1:8" x14ac:dyDescent="0.25">
      <c r="A68" s="111"/>
      <c r="B68" s="173"/>
      <c r="C68" s="174"/>
      <c r="D68" s="117" t="s">
        <v>1</v>
      </c>
      <c r="E68" s="109"/>
      <c r="F68" s="176"/>
    </row>
    <row r="69" spans="1:8" x14ac:dyDescent="0.25">
      <c r="A69" s="116"/>
      <c r="B69" s="173"/>
      <c r="C69" s="174"/>
      <c r="D69" s="117" t="s">
        <v>1</v>
      </c>
      <c r="E69" s="109"/>
      <c r="F69" s="176"/>
    </row>
    <row r="70" spans="1:8" x14ac:dyDescent="0.25">
      <c r="A70" s="105"/>
      <c r="B70" s="106"/>
      <c r="C70" s="106"/>
      <c r="D70" s="106"/>
      <c r="E70" s="106"/>
      <c r="F70" s="99"/>
    </row>
    <row r="71" spans="1:8" ht="13.35" customHeight="1" x14ac:dyDescent="0.25">
      <c r="A71" s="107">
        <v>12</v>
      </c>
      <c r="B71" s="173" t="s">
        <v>247</v>
      </c>
      <c r="C71" s="174" t="s">
        <v>243</v>
      </c>
      <c r="D71" s="127" t="s">
        <v>233</v>
      </c>
      <c r="E71" s="109"/>
      <c r="F71" s="110" t="s">
        <v>234</v>
      </c>
    </row>
    <row r="72" spans="1:8" ht="13.35" customHeight="1" x14ac:dyDescent="0.25">
      <c r="A72" s="111"/>
      <c r="B72" s="173"/>
      <c r="C72" s="174"/>
      <c r="D72" s="112"/>
      <c r="E72" s="109"/>
      <c r="F72" s="113"/>
    </row>
    <row r="73" spans="1:8" x14ac:dyDescent="0.25">
      <c r="A73" s="111"/>
      <c r="B73" s="173"/>
      <c r="C73" s="174"/>
      <c r="D73" s="117" t="s">
        <v>244</v>
      </c>
      <c r="E73" s="109"/>
      <c r="F73" s="176" t="s">
        <v>245</v>
      </c>
    </row>
    <row r="74" spans="1:8" x14ac:dyDescent="0.25">
      <c r="A74" s="111"/>
      <c r="B74" s="173"/>
      <c r="C74" s="174"/>
      <c r="D74" s="117" t="s">
        <v>1</v>
      </c>
      <c r="E74" s="109"/>
      <c r="F74" s="176"/>
    </row>
    <row r="75" spans="1:8" x14ac:dyDescent="0.25">
      <c r="A75" s="116"/>
      <c r="B75" s="173"/>
      <c r="C75" s="174"/>
      <c r="D75" s="117" t="s">
        <v>1</v>
      </c>
      <c r="E75" s="109"/>
      <c r="F75" s="176"/>
    </row>
    <row r="76" spans="1:8" x14ac:dyDescent="0.25">
      <c r="A76" s="105"/>
      <c r="B76" s="106"/>
      <c r="C76" s="106"/>
      <c r="D76" s="106"/>
      <c r="E76" s="106"/>
      <c r="F76" s="99"/>
    </row>
    <row r="77" spans="1:8" ht="13.35" customHeight="1" x14ac:dyDescent="0.25">
      <c r="A77" s="107">
        <v>13</v>
      </c>
      <c r="B77" s="173" t="s">
        <v>248</v>
      </c>
      <c r="C77" s="174" t="s">
        <v>249</v>
      </c>
      <c r="D77" s="117" t="s">
        <v>250</v>
      </c>
      <c r="E77" s="109"/>
      <c r="F77" s="175" t="s">
        <v>71</v>
      </c>
    </row>
    <row r="78" spans="1:8" x14ac:dyDescent="0.25">
      <c r="A78" s="116"/>
      <c r="B78" s="173"/>
      <c r="C78" s="174"/>
      <c r="D78" s="131" t="s">
        <v>251</v>
      </c>
      <c r="E78" s="109"/>
      <c r="F78" s="175"/>
    </row>
    <row r="80" spans="1:8" ht="12.75" customHeight="1" x14ac:dyDescent="0.25">
      <c r="A80" s="128" t="s">
        <v>1</v>
      </c>
      <c r="B80" s="170"/>
      <c r="C80" s="171" t="s">
        <v>236</v>
      </c>
      <c r="D80" s="114" t="s">
        <v>229</v>
      </c>
      <c r="E80" s="109"/>
      <c r="F80" s="132"/>
      <c r="G80" t="s">
        <v>252</v>
      </c>
      <c r="H80" t="s">
        <v>253</v>
      </c>
    </row>
    <row r="81" spans="1:8" x14ac:dyDescent="0.25">
      <c r="A81" s="129" t="s">
        <v>254</v>
      </c>
      <c r="B81" s="170"/>
      <c r="C81" s="171"/>
      <c r="D81" s="114" t="s">
        <v>231</v>
      </c>
      <c r="E81" s="109"/>
      <c r="F81" s="172" t="s">
        <v>87</v>
      </c>
    </row>
    <row r="82" spans="1:8" x14ac:dyDescent="0.25">
      <c r="A82" s="129"/>
      <c r="B82" s="170"/>
      <c r="C82" s="171"/>
      <c r="D82" s="117"/>
      <c r="E82" s="109"/>
      <c r="F82" s="172"/>
    </row>
    <row r="83" spans="1:8" x14ac:dyDescent="0.25">
      <c r="A83" s="130"/>
      <c r="B83" s="170"/>
      <c r="C83" s="171"/>
      <c r="D83" s="117"/>
      <c r="E83" s="133"/>
      <c r="F83" s="172"/>
    </row>
    <row r="85" spans="1:8" ht="12.75" customHeight="1" x14ac:dyDescent="0.25">
      <c r="A85" s="128" t="s">
        <v>1</v>
      </c>
      <c r="B85" s="170"/>
      <c r="C85" s="171" t="s">
        <v>236</v>
      </c>
      <c r="D85" s="114" t="s">
        <v>229</v>
      </c>
      <c r="E85" s="109"/>
      <c r="F85" s="132"/>
      <c r="G85" t="s">
        <v>255</v>
      </c>
      <c r="H85" t="s">
        <v>256</v>
      </c>
    </row>
    <row r="86" spans="1:8" x14ac:dyDescent="0.25">
      <c r="A86" s="129" t="s">
        <v>254</v>
      </c>
      <c r="B86" s="170"/>
      <c r="C86" s="171"/>
      <c r="D86" s="114" t="s">
        <v>231</v>
      </c>
      <c r="E86" s="109"/>
      <c r="F86" s="172" t="s">
        <v>87</v>
      </c>
    </row>
    <row r="87" spans="1:8" x14ac:dyDescent="0.25">
      <c r="A87" s="129"/>
      <c r="B87" s="170"/>
      <c r="C87" s="171"/>
      <c r="D87" s="117"/>
      <c r="E87" s="109"/>
      <c r="F87" s="172"/>
    </row>
    <row r="88" spans="1:8" x14ac:dyDescent="0.25">
      <c r="A88" s="130"/>
      <c r="B88" s="170"/>
      <c r="C88" s="171"/>
      <c r="D88" s="117"/>
      <c r="E88" s="133"/>
      <c r="F88" s="172"/>
    </row>
    <row r="90" spans="1:8" ht="12.75" customHeight="1" x14ac:dyDescent="0.25">
      <c r="A90" s="128" t="s">
        <v>1</v>
      </c>
      <c r="B90" s="170"/>
      <c r="C90" s="171" t="s">
        <v>236</v>
      </c>
      <c r="D90" s="114" t="s">
        <v>229</v>
      </c>
      <c r="E90" s="109"/>
      <c r="F90" s="132"/>
      <c r="G90" t="s">
        <v>257</v>
      </c>
      <c r="H90" t="s">
        <v>258</v>
      </c>
    </row>
    <row r="91" spans="1:8" x14ac:dyDescent="0.25">
      <c r="A91" s="129" t="s">
        <v>254</v>
      </c>
      <c r="B91" s="170"/>
      <c r="C91" s="171"/>
      <c r="D91" s="114" t="s">
        <v>231</v>
      </c>
      <c r="E91" s="109"/>
      <c r="F91" s="172" t="s">
        <v>87</v>
      </c>
    </row>
    <row r="92" spans="1:8" x14ac:dyDescent="0.25">
      <c r="A92" s="129"/>
      <c r="B92" s="170"/>
      <c r="C92" s="171"/>
      <c r="D92" s="117"/>
      <c r="E92" s="109"/>
      <c r="F92" s="172"/>
    </row>
    <row r="93" spans="1:8" x14ac:dyDescent="0.25">
      <c r="A93" s="130"/>
      <c r="B93" s="170"/>
      <c r="C93" s="171"/>
      <c r="D93" s="117"/>
      <c r="E93" s="133"/>
      <c r="F93" s="172"/>
    </row>
  </sheetData>
  <mergeCells count="45">
    <mergeCell ref="B5:B9"/>
    <mergeCell ref="C5:C9"/>
    <mergeCell ref="B11:B15"/>
    <mergeCell ref="C11:C15"/>
    <mergeCell ref="F13:F15"/>
    <mergeCell ref="B17:B21"/>
    <mergeCell ref="C17:C21"/>
    <mergeCell ref="F19:F21"/>
    <mergeCell ref="B23:B27"/>
    <mergeCell ref="C23:C27"/>
    <mergeCell ref="F25:F27"/>
    <mergeCell ref="B29:B39"/>
    <mergeCell ref="C29:C34"/>
    <mergeCell ref="F31:F32"/>
    <mergeCell ref="C36:C39"/>
    <mergeCell ref="F37:F39"/>
    <mergeCell ref="B41:B52"/>
    <mergeCell ref="C41:C46"/>
    <mergeCell ref="F43:F44"/>
    <mergeCell ref="C48:C52"/>
    <mergeCell ref="F50:F52"/>
    <mergeCell ref="B54:B57"/>
    <mergeCell ref="C54:C57"/>
    <mergeCell ref="F55:F57"/>
    <mergeCell ref="B59:B63"/>
    <mergeCell ref="C59:C63"/>
    <mergeCell ref="F61:F63"/>
    <mergeCell ref="B65:B69"/>
    <mergeCell ref="C65:C69"/>
    <mergeCell ref="F67:F69"/>
    <mergeCell ref="B71:B75"/>
    <mergeCell ref="C71:C75"/>
    <mergeCell ref="F73:F75"/>
    <mergeCell ref="B77:B78"/>
    <mergeCell ref="C77:C78"/>
    <mergeCell ref="F77:F78"/>
    <mergeCell ref="B80:B83"/>
    <mergeCell ref="C80:C83"/>
    <mergeCell ref="F81:F83"/>
    <mergeCell ref="B85:B88"/>
    <mergeCell ref="C85:C88"/>
    <mergeCell ref="F86:F88"/>
    <mergeCell ref="B90:B93"/>
    <mergeCell ref="C90:C93"/>
    <mergeCell ref="F91:F93"/>
  </mergeCells>
  <pageMargins left="0.5" right="0.5" top="0.5" bottom="0.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BE33-7DD2-4EEB-90F0-256FC80F57D5}">
  <sheetPr codeName="Sheet3"/>
  <dimension ref="A2:AE37"/>
  <sheetViews>
    <sheetView workbookViewId="0">
      <selection activeCell="B22" sqref="B22:U22"/>
    </sheetView>
  </sheetViews>
  <sheetFormatPr defaultRowHeight="13.2" x14ac:dyDescent="0.25"/>
  <cols>
    <col min="1" max="1" width="5.77734375" customWidth="1"/>
    <col min="3" max="3" width="18.33203125" customWidth="1"/>
    <col min="4" max="8" width="16.33203125" customWidth="1"/>
    <col min="9" max="16" width="17.33203125" customWidth="1"/>
    <col min="17" max="19" width="16.33203125" customWidth="1"/>
    <col min="20" max="20" width="17.5546875" customWidth="1"/>
    <col min="21" max="31" width="17.77734375" customWidth="1"/>
  </cols>
  <sheetData>
    <row r="2" spans="2:28" x14ac:dyDescent="0.25">
      <c r="D2">
        <v>1</v>
      </c>
      <c r="E2">
        <f>D2+1</f>
        <v>2</v>
      </c>
      <c r="F2">
        <f t="shared" ref="F2:AB2" si="0">E2+1</f>
        <v>3</v>
      </c>
      <c r="G2">
        <f t="shared" si="0"/>
        <v>4</v>
      </c>
      <c r="H2">
        <f t="shared" si="0"/>
        <v>5</v>
      </c>
      <c r="I2">
        <f t="shared" si="0"/>
        <v>6</v>
      </c>
      <c r="J2">
        <f t="shared" si="0"/>
        <v>7</v>
      </c>
      <c r="K2">
        <f t="shared" si="0"/>
        <v>8</v>
      </c>
      <c r="L2">
        <f t="shared" si="0"/>
        <v>9</v>
      </c>
      <c r="M2">
        <f t="shared" si="0"/>
        <v>10</v>
      </c>
      <c r="N2">
        <f t="shared" si="0"/>
        <v>11</v>
      </c>
      <c r="O2">
        <f t="shared" si="0"/>
        <v>12</v>
      </c>
      <c r="P2">
        <f t="shared" si="0"/>
        <v>13</v>
      </c>
      <c r="Q2">
        <f t="shared" si="0"/>
        <v>14</v>
      </c>
      <c r="R2">
        <f t="shared" si="0"/>
        <v>15</v>
      </c>
      <c r="S2">
        <f t="shared" si="0"/>
        <v>16</v>
      </c>
      <c r="T2">
        <f t="shared" si="0"/>
        <v>17</v>
      </c>
      <c r="U2">
        <f t="shared" si="0"/>
        <v>18</v>
      </c>
      <c r="V2">
        <f t="shared" si="0"/>
        <v>19</v>
      </c>
      <c r="W2">
        <f t="shared" si="0"/>
        <v>20</v>
      </c>
      <c r="X2">
        <f t="shared" si="0"/>
        <v>21</v>
      </c>
      <c r="Y2">
        <f t="shared" si="0"/>
        <v>22</v>
      </c>
      <c r="Z2">
        <f t="shared" si="0"/>
        <v>23</v>
      </c>
      <c r="AA2">
        <f t="shared" si="0"/>
        <v>24</v>
      </c>
      <c r="AB2">
        <f t="shared" si="0"/>
        <v>25</v>
      </c>
    </row>
    <row r="4" spans="2:28" x14ac:dyDescent="0.25">
      <c r="B4" t="s">
        <v>276</v>
      </c>
      <c r="C4" t="s">
        <v>273</v>
      </c>
      <c r="D4" t="s">
        <v>277</v>
      </c>
      <c r="E4">
        <v>-0.1</v>
      </c>
      <c r="F4">
        <v>-0.3</v>
      </c>
      <c r="G4">
        <v>-0.5</v>
      </c>
      <c r="H4">
        <v>-0.55000000000000004</v>
      </c>
      <c r="I4">
        <v>-1</v>
      </c>
      <c r="J4">
        <v>-1.5</v>
      </c>
      <c r="K4">
        <v>-2</v>
      </c>
      <c r="L4">
        <v>-2.5</v>
      </c>
      <c r="M4">
        <v>-3</v>
      </c>
      <c r="N4">
        <v>-4</v>
      </c>
      <c r="O4">
        <v>-5</v>
      </c>
      <c r="P4">
        <v>-6</v>
      </c>
      <c r="Q4">
        <v>-7</v>
      </c>
      <c r="R4">
        <v>-7.5</v>
      </c>
      <c r="S4">
        <v>-8</v>
      </c>
      <c r="T4">
        <v>-8.5</v>
      </c>
      <c r="U4">
        <v>-9</v>
      </c>
    </row>
    <row r="5" spans="2:28" x14ac:dyDescent="0.25">
      <c r="B5" t="s">
        <v>274</v>
      </c>
      <c r="C5" t="s">
        <v>273</v>
      </c>
      <c r="D5">
        <v>-0.02</v>
      </c>
      <c r="E5">
        <v>-0.3</v>
      </c>
      <c r="F5">
        <v>-0.6</v>
      </c>
      <c r="G5">
        <v>-1</v>
      </c>
      <c r="H5">
        <v>-1.6</v>
      </c>
      <c r="I5">
        <v>-2</v>
      </c>
      <c r="J5">
        <v>-2.6</v>
      </c>
      <c r="K5">
        <v>-3</v>
      </c>
      <c r="L5">
        <v>-3.6</v>
      </c>
      <c r="M5">
        <v>-4</v>
      </c>
      <c r="N5">
        <v>-6</v>
      </c>
      <c r="O5">
        <v>-8</v>
      </c>
      <c r="P5">
        <v>-10</v>
      </c>
      <c r="Q5">
        <v>-12</v>
      </c>
      <c r="R5">
        <v>-14</v>
      </c>
      <c r="S5">
        <v>-15</v>
      </c>
      <c r="T5">
        <v>-16</v>
      </c>
      <c r="U5">
        <v>-17</v>
      </c>
      <c r="V5">
        <v>-18</v>
      </c>
      <c r="W5">
        <v>-20</v>
      </c>
      <c r="X5">
        <v>-25</v>
      </c>
      <c r="Y5">
        <v>-30</v>
      </c>
      <c r="Z5">
        <v>-35</v>
      </c>
      <c r="AA5">
        <v>-40</v>
      </c>
      <c r="AB5">
        <v>-41</v>
      </c>
    </row>
    <row r="6" spans="2:28" x14ac:dyDescent="0.25">
      <c r="B6" t="s">
        <v>275</v>
      </c>
      <c r="C6" t="s">
        <v>273</v>
      </c>
      <c r="D6">
        <v>-0.02</v>
      </c>
      <c r="E6">
        <v>-0.3</v>
      </c>
      <c r="F6">
        <v>-0.6</v>
      </c>
      <c r="G6">
        <v>-1</v>
      </c>
      <c r="H6">
        <v>-1.6</v>
      </c>
      <c r="I6">
        <v>-2</v>
      </c>
      <c r="J6">
        <v>-2.2999999999999998</v>
      </c>
      <c r="K6">
        <v>-2.6</v>
      </c>
      <c r="L6">
        <v>-3</v>
      </c>
      <c r="M6">
        <v>-3.3</v>
      </c>
      <c r="N6">
        <v>-3.6</v>
      </c>
      <c r="O6">
        <v>-4</v>
      </c>
      <c r="P6">
        <v>-4.5999999999999996</v>
      </c>
      <c r="Q6">
        <v>-5</v>
      </c>
      <c r="R6">
        <v>-5.9</v>
      </c>
      <c r="S6">
        <v>-7</v>
      </c>
    </row>
    <row r="9" spans="2:28" x14ac:dyDescent="0.25">
      <c r="B9" t="s">
        <v>315</v>
      </c>
      <c r="C9" t="s">
        <v>316</v>
      </c>
      <c r="D9" t="s">
        <v>317</v>
      </c>
      <c r="E9" t="s">
        <v>318</v>
      </c>
      <c r="I9" s="163"/>
      <c r="K9" s="163"/>
      <c r="N9" s="163"/>
      <c r="U9" s="163"/>
    </row>
    <row r="10" spans="2:28" x14ac:dyDescent="0.25">
      <c r="B10" t="s">
        <v>319</v>
      </c>
      <c r="C10" t="s">
        <v>320</v>
      </c>
      <c r="I10" s="163" t="s">
        <v>321</v>
      </c>
      <c r="K10" s="163" t="s">
        <v>322</v>
      </c>
      <c r="M10" t="s">
        <v>323</v>
      </c>
      <c r="N10" s="163" t="s">
        <v>324</v>
      </c>
      <c r="P10" t="s">
        <v>325</v>
      </c>
      <c r="Q10" t="s">
        <v>326</v>
      </c>
      <c r="R10" t="s">
        <v>327</v>
      </c>
      <c r="S10" t="s">
        <v>328</v>
      </c>
      <c r="U10" s="163"/>
    </row>
    <row r="11" spans="2:28" x14ac:dyDescent="0.25">
      <c r="B11" t="s">
        <v>319</v>
      </c>
      <c r="C11" t="s">
        <v>316</v>
      </c>
      <c r="E11" t="s">
        <v>318</v>
      </c>
      <c r="I11" s="163"/>
      <c r="K11" s="163"/>
      <c r="N11" s="163"/>
      <c r="U11" s="163"/>
    </row>
    <row r="12" spans="2:28" x14ac:dyDescent="0.25">
      <c r="B12" t="s">
        <v>329</v>
      </c>
      <c r="C12" t="s">
        <v>320</v>
      </c>
      <c r="I12" s="163" t="s">
        <v>321</v>
      </c>
      <c r="K12" s="163"/>
      <c r="M12" t="s">
        <v>323</v>
      </c>
      <c r="N12" s="163"/>
      <c r="P12" t="s">
        <v>325</v>
      </c>
      <c r="Q12" t="s">
        <v>326</v>
      </c>
      <c r="R12" t="s">
        <v>327</v>
      </c>
      <c r="S12" t="s">
        <v>328</v>
      </c>
      <c r="T12" t="s">
        <v>330</v>
      </c>
      <c r="U12" s="163"/>
    </row>
    <row r="13" spans="2:28" x14ac:dyDescent="0.25">
      <c r="B13" t="s">
        <v>329</v>
      </c>
      <c r="C13" t="s">
        <v>316</v>
      </c>
      <c r="D13" t="s">
        <v>317</v>
      </c>
      <c r="E13" t="s">
        <v>318</v>
      </c>
      <c r="I13" s="163"/>
      <c r="K13" s="163"/>
      <c r="N13" s="163"/>
      <c r="U13" s="163"/>
    </row>
    <row r="14" spans="2:28" x14ac:dyDescent="0.25">
      <c r="B14" t="s">
        <v>331</v>
      </c>
      <c r="C14" t="s">
        <v>320</v>
      </c>
      <c r="H14" t="s">
        <v>332</v>
      </c>
      <c r="I14" s="163"/>
      <c r="J14" t="s">
        <v>333</v>
      </c>
      <c r="K14" s="163" t="s">
        <v>322</v>
      </c>
      <c r="L14" t="s">
        <v>334</v>
      </c>
      <c r="M14" t="s">
        <v>323</v>
      </c>
      <c r="N14" s="163" t="s">
        <v>324</v>
      </c>
      <c r="U14" s="163"/>
    </row>
    <row r="15" spans="2:28" x14ac:dyDescent="0.25">
      <c r="B15" t="s">
        <v>331</v>
      </c>
      <c r="C15" t="s">
        <v>316</v>
      </c>
      <c r="D15" t="s">
        <v>317</v>
      </c>
      <c r="E15" t="s">
        <v>318</v>
      </c>
      <c r="I15" s="163"/>
      <c r="K15" s="163"/>
      <c r="N15" s="163"/>
      <c r="U15" s="163"/>
    </row>
    <row r="16" spans="2:28" x14ac:dyDescent="0.25">
      <c r="B16" t="s">
        <v>335</v>
      </c>
      <c r="C16" t="s">
        <v>320</v>
      </c>
      <c r="I16" s="163" t="s">
        <v>321</v>
      </c>
      <c r="K16" s="163"/>
      <c r="N16" s="163"/>
      <c r="S16" t="s">
        <v>328</v>
      </c>
      <c r="U16" s="163"/>
      <c r="V16" t="s">
        <v>336</v>
      </c>
      <c r="Y16" t="s">
        <v>337</v>
      </c>
    </row>
    <row r="17" spans="1:31" x14ac:dyDescent="0.25">
      <c r="B17" t="s">
        <v>338</v>
      </c>
      <c r="C17" t="s">
        <v>316</v>
      </c>
      <c r="D17" t="s">
        <v>317</v>
      </c>
      <c r="E17" t="s">
        <v>318</v>
      </c>
      <c r="I17" s="163"/>
      <c r="K17" s="163"/>
      <c r="N17" s="163"/>
      <c r="U17" s="163"/>
    </row>
    <row r="18" spans="1:31" x14ac:dyDescent="0.25">
      <c r="B18" t="s">
        <v>339</v>
      </c>
      <c r="C18" t="s">
        <v>320</v>
      </c>
      <c r="I18" s="163" t="s">
        <v>321</v>
      </c>
      <c r="K18" s="163"/>
      <c r="N18" s="163"/>
      <c r="U18" s="163" t="s">
        <v>340</v>
      </c>
      <c r="Z18" t="s">
        <v>341</v>
      </c>
      <c r="AB18" t="s">
        <v>354</v>
      </c>
      <c r="AE18" t="s">
        <v>342</v>
      </c>
    </row>
    <row r="19" spans="1:31" x14ac:dyDescent="0.25">
      <c r="B19" t="s">
        <v>343</v>
      </c>
      <c r="C19" t="s">
        <v>316</v>
      </c>
      <c r="D19" t="s">
        <v>317</v>
      </c>
      <c r="I19" s="163"/>
      <c r="K19" s="163"/>
      <c r="N19" s="163"/>
      <c r="U19" s="163"/>
    </row>
    <row r="20" spans="1:31" x14ac:dyDescent="0.25">
      <c r="B20" t="s">
        <v>344</v>
      </c>
      <c r="C20" t="s">
        <v>320</v>
      </c>
      <c r="D20" t="s">
        <v>317</v>
      </c>
      <c r="I20" s="163"/>
      <c r="K20" s="163"/>
      <c r="N20" s="163"/>
      <c r="U20" s="163"/>
    </row>
    <row r="21" spans="1:31" x14ac:dyDescent="0.25">
      <c r="B21" s="162" t="s">
        <v>345</v>
      </c>
      <c r="C21" s="162" t="s">
        <v>316</v>
      </c>
      <c r="D21" s="162"/>
      <c r="E21" s="162" t="s">
        <v>318</v>
      </c>
      <c r="F21" s="162"/>
      <c r="G21" s="162"/>
      <c r="H21" s="162"/>
      <c r="I21" s="164" t="s">
        <v>321</v>
      </c>
      <c r="J21" s="162"/>
      <c r="K21" s="164"/>
      <c r="L21" s="162" t="s">
        <v>334</v>
      </c>
      <c r="M21" s="162"/>
      <c r="N21" s="164"/>
      <c r="O21" s="162"/>
      <c r="P21" s="162" t="s">
        <v>325</v>
      </c>
      <c r="Q21" s="162"/>
      <c r="R21" s="162"/>
      <c r="S21" s="162"/>
      <c r="T21" s="162" t="s">
        <v>330</v>
      </c>
      <c r="U21" s="163"/>
    </row>
    <row r="22" spans="1:31" x14ac:dyDescent="0.25">
      <c r="B22" s="162" t="s">
        <v>346</v>
      </c>
      <c r="C22" s="162" t="s">
        <v>316</v>
      </c>
      <c r="D22" s="162"/>
      <c r="E22" s="162" t="s">
        <v>318</v>
      </c>
      <c r="F22" s="162"/>
      <c r="G22" s="162"/>
      <c r="H22" s="162" t="s">
        <v>332</v>
      </c>
      <c r="I22" s="164" t="s">
        <v>321</v>
      </c>
      <c r="J22" s="162" t="s">
        <v>333</v>
      </c>
      <c r="K22" s="164" t="s">
        <v>322</v>
      </c>
      <c r="L22" s="162" t="s">
        <v>334</v>
      </c>
      <c r="M22" s="162"/>
      <c r="N22" s="164" t="s">
        <v>324</v>
      </c>
      <c r="O22" s="162"/>
      <c r="P22" s="162" t="s">
        <v>325</v>
      </c>
      <c r="Q22" s="162"/>
      <c r="R22" s="162"/>
      <c r="S22" s="162"/>
      <c r="T22" s="162" t="s">
        <v>330</v>
      </c>
      <c r="U22" s="164" t="s">
        <v>340</v>
      </c>
    </row>
    <row r="23" spans="1:31" x14ac:dyDescent="0.25">
      <c r="B23" t="s">
        <v>347</v>
      </c>
      <c r="C23" t="s">
        <v>316</v>
      </c>
      <c r="E23" t="s">
        <v>318</v>
      </c>
      <c r="I23" s="163" t="s">
        <v>321</v>
      </c>
      <c r="K23" s="163"/>
      <c r="L23" t="s">
        <v>334</v>
      </c>
      <c r="N23" s="163"/>
      <c r="P23" t="s">
        <v>325</v>
      </c>
      <c r="T23" t="s">
        <v>330</v>
      </c>
      <c r="U23" s="163"/>
    </row>
    <row r="24" spans="1:31" x14ac:dyDescent="0.25">
      <c r="B24" t="s">
        <v>348</v>
      </c>
      <c r="C24" t="s">
        <v>316</v>
      </c>
      <c r="H24" t="s">
        <v>332</v>
      </c>
      <c r="I24" s="163" t="s">
        <v>321</v>
      </c>
      <c r="J24" t="s">
        <v>333</v>
      </c>
      <c r="K24" s="163" t="s">
        <v>322</v>
      </c>
      <c r="N24" s="163" t="s">
        <v>324</v>
      </c>
      <c r="U24" s="163" t="s">
        <v>340</v>
      </c>
    </row>
    <row r="25" spans="1:31" x14ac:dyDescent="0.25">
      <c r="B25" t="s">
        <v>349</v>
      </c>
      <c r="C25" t="s">
        <v>316</v>
      </c>
      <c r="H25" t="s">
        <v>332</v>
      </c>
      <c r="I25" s="163" t="s">
        <v>321</v>
      </c>
      <c r="J25" t="s">
        <v>333</v>
      </c>
      <c r="K25" s="163" t="s">
        <v>322</v>
      </c>
      <c r="N25" s="163" t="s">
        <v>324</v>
      </c>
      <c r="U25" s="163" t="s">
        <v>340</v>
      </c>
    </row>
    <row r="26" spans="1:31" x14ac:dyDescent="0.25">
      <c r="B26" t="s">
        <v>350</v>
      </c>
      <c r="C26" t="s">
        <v>316</v>
      </c>
      <c r="H26" t="s">
        <v>332</v>
      </c>
      <c r="I26" s="163" t="s">
        <v>321</v>
      </c>
      <c r="J26" t="s">
        <v>333</v>
      </c>
      <c r="K26" s="163" t="s">
        <v>322</v>
      </c>
      <c r="N26" s="163" t="s">
        <v>324</v>
      </c>
      <c r="U26" s="163" t="s">
        <v>340</v>
      </c>
    </row>
    <row r="27" spans="1:31" x14ac:dyDescent="0.25">
      <c r="B27" t="s">
        <v>351</v>
      </c>
      <c r="C27" t="s">
        <v>316</v>
      </c>
      <c r="H27" t="s">
        <v>332</v>
      </c>
      <c r="I27" s="163" t="s">
        <v>321</v>
      </c>
      <c r="J27" t="s">
        <v>333</v>
      </c>
      <c r="K27" s="163" t="s">
        <v>322</v>
      </c>
      <c r="N27" s="163" t="s">
        <v>324</v>
      </c>
      <c r="U27" s="163" t="s">
        <v>340</v>
      </c>
    </row>
    <row r="28" spans="1:31" x14ac:dyDescent="0.25">
      <c r="B28" s="162" t="s">
        <v>299</v>
      </c>
      <c r="C28" s="162" t="s">
        <v>316</v>
      </c>
      <c r="D28" s="162"/>
      <c r="E28" s="162"/>
      <c r="F28" s="162"/>
      <c r="G28" s="162"/>
      <c r="H28" s="162" t="s">
        <v>332</v>
      </c>
      <c r="I28" s="164" t="s">
        <v>321</v>
      </c>
      <c r="J28" s="162" t="s">
        <v>333</v>
      </c>
      <c r="K28" s="164" t="s">
        <v>322</v>
      </c>
      <c r="L28" s="162"/>
      <c r="M28" s="162"/>
      <c r="N28" s="164" t="s">
        <v>324</v>
      </c>
      <c r="O28" s="162"/>
      <c r="P28" s="162"/>
      <c r="Q28" s="162"/>
      <c r="R28" s="162"/>
      <c r="S28" s="162"/>
      <c r="T28" s="162"/>
      <c r="U28" s="164" t="s">
        <v>340</v>
      </c>
    </row>
    <row r="29" spans="1:31" x14ac:dyDescent="0.25">
      <c r="A29">
        <v>58</v>
      </c>
      <c r="B29" t="s">
        <v>290</v>
      </c>
      <c r="C29" t="s">
        <v>316</v>
      </c>
      <c r="G29" t="s">
        <v>352</v>
      </c>
      <c r="I29" s="163" t="s">
        <v>321</v>
      </c>
      <c r="K29" s="163" t="s">
        <v>322</v>
      </c>
      <c r="N29" s="163"/>
      <c r="O29" t="s">
        <v>353</v>
      </c>
      <c r="U29" s="163"/>
    </row>
    <row r="30" spans="1:31" x14ac:dyDescent="0.25">
      <c r="A30">
        <v>59</v>
      </c>
      <c r="B30" t="s">
        <v>289</v>
      </c>
      <c r="C30" t="s">
        <v>316</v>
      </c>
      <c r="G30" t="s">
        <v>352</v>
      </c>
      <c r="I30" s="163" t="s">
        <v>321</v>
      </c>
      <c r="K30" s="163" t="s">
        <v>322</v>
      </c>
      <c r="N30" s="163"/>
      <c r="O30" t="s">
        <v>353</v>
      </c>
      <c r="U30" s="163"/>
    </row>
    <row r="31" spans="1:31" x14ac:dyDescent="0.25">
      <c r="A31">
        <v>60</v>
      </c>
      <c r="B31" t="s">
        <v>276</v>
      </c>
      <c r="C31" t="s">
        <v>316</v>
      </c>
      <c r="I31" s="163" t="s">
        <v>321</v>
      </c>
      <c r="K31" s="163" t="s">
        <v>322</v>
      </c>
      <c r="N31" s="163" t="s">
        <v>324</v>
      </c>
      <c r="O31" t="s">
        <v>353</v>
      </c>
      <c r="U31" s="163" t="s">
        <v>340</v>
      </c>
      <c r="V31" t="s">
        <v>336</v>
      </c>
      <c r="Z31" t="s">
        <v>341</v>
      </c>
      <c r="AB31" t="s">
        <v>354</v>
      </c>
      <c r="AE31" t="s">
        <v>342</v>
      </c>
    </row>
    <row r="32" spans="1:31" x14ac:dyDescent="0.25">
      <c r="A32">
        <v>61</v>
      </c>
      <c r="B32" t="s">
        <v>288</v>
      </c>
      <c r="C32" t="s">
        <v>316</v>
      </c>
      <c r="I32" s="163" t="s">
        <v>321</v>
      </c>
      <c r="K32" s="163" t="s">
        <v>322</v>
      </c>
      <c r="N32" s="163"/>
      <c r="O32" t="s">
        <v>353</v>
      </c>
      <c r="U32" s="163"/>
    </row>
    <row r="33" spans="1:31" x14ac:dyDescent="0.25">
      <c r="A33">
        <v>62</v>
      </c>
      <c r="B33" t="s">
        <v>287</v>
      </c>
      <c r="C33" t="s">
        <v>316</v>
      </c>
      <c r="I33" s="163" t="s">
        <v>321</v>
      </c>
      <c r="K33" s="163" t="s">
        <v>322</v>
      </c>
      <c r="N33" s="163"/>
      <c r="O33" t="s">
        <v>353</v>
      </c>
      <c r="U33" s="163"/>
    </row>
    <row r="34" spans="1:31" x14ac:dyDescent="0.25">
      <c r="A34">
        <v>63</v>
      </c>
      <c r="B34" t="s">
        <v>274</v>
      </c>
      <c r="C34" t="s">
        <v>316</v>
      </c>
      <c r="F34" t="s">
        <v>355</v>
      </c>
      <c r="I34" s="163"/>
      <c r="K34" s="163" t="s">
        <v>322</v>
      </c>
      <c r="N34" s="163"/>
      <c r="P34" t="s">
        <v>325</v>
      </c>
      <c r="U34" s="163" t="s">
        <v>340</v>
      </c>
      <c r="W34" t="s">
        <v>356</v>
      </c>
      <c r="Z34" t="s">
        <v>341</v>
      </c>
      <c r="AC34" t="s">
        <v>357</v>
      </c>
      <c r="AE34" t="s">
        <v>342</v>
      </c>
    </row>
    <row r="35" spans="1:31" x14ac:dyDescent="0.25">
      <c r="A35">
        <v>64</v>
      </c>
      <c r="B35" t="s">
        <v>275</v>
      </c>
      <c r="C35" t="s">
        <v>316</v>
      </c>
      <c r="F35" t="s">
        <v>355</v>
      </c>
      <c r="I35" s="163"/>
      <c r="K35" s="163" t="s">
        <v>322</v>
      </c>
      <c r="N35" s="163"/>
      <c r="P35" t="s">
        <v>325</v>
      </c>
      <c r="U35" s="163" t="s">
        <v>340</v>
      </c>
      <c r="W35" t="s">
        <v>356</v>
      </c>
      <c r="Z35" t="s">
        <v>341</v>
      </c>
      <c r="AC35" t="s">
        <v>357</v>
      </c>
      <c r="AE35" t="s">
        <v>342</v>
      </c>
    </row>
    <row r="36" spans="1:31" x14ac:dyDescent="0.25">
      <c r="A36">
        <v>65</v>
      </c>
      <c r="B36" t="s">
        <v>286</v>
      </c>
      <c r="C36" t="s">
        <v>316</v>
      </c>
      <c r="I36" s="163"/>
      <c r="K36" s="163"/>
      <c r="N36" s="163" t="s">
        <v>324</v>
      </c>
      <c r="U36" s="163" t="s">
        <v>340</v>
      </c>
      <c r="Z36" t="s">
        <v>341</v>
      </c>
    </row>
    <row r="37" spans="1:31" x14ac:dyDescent="0.25">
      <c r="A37">
        <v>67</v>
      </c>
      <c r="B37" t="s">
        <v>314</v>
      </c>
      <c r="C37" t="s">
        <v>316</v>
      </c>
      <c r="I37" s="163"/>
      <c r="K37" s="163"/>
      <c r="N37" s="163" t="s">
        <v>324</v>
      </c>
      <c r="U37" s="163" t="s">
        <v>340</v>
      </c>
      <c r="V37" t="s">
        <v>336</v>
      </c>
      <c r="X37" t="s">
        <v>358</v>
      </c>
      <c r="Z37" t="s">
        <v>341</v>
      </c>
      <c r="AA37" t="s">
        <v>360</v>
      </c>
      <c r="AB37" t="s">
        <v>354</v>
      </c>
      <c r="AD37" t="s">
        <v>359</v>
      </c>
      <c r="AE37" t="s">
        <v>342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Nodepositions</vt:lpstr>
      <vt:lpstr>Sensor Setup</vt:lpstr>
      <vt:lpstr>Temperature Channels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Beutel</dc:creator>
  <dc:description/>
  <cp:lastModifiedBy>Jan Beutel</cp:lastModifiedBy>
  <cp:revision>4</cp:revision>
  <cp:lastPrinted>2025-08-10T17:14:24Z</cp:lastPrinted>
  <dcterms:created xsi:type="dcterms:W3CDTF">2017-06-01T13:17:55Z</dcterms:created>
  <dcterms:modified xsi:type="dcterms:W3CDTF">2025-11-10T14:53:03Z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